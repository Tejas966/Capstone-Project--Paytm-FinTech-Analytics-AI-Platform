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BitSoM Final project\Capstone-Project--Paytm-FinTech-Analytics-AI-Platform\payments_fraud_analytics\"/>
    </mc:Choice>
  </mc:AlternateContent>
  <xr:revisionPtr revIDLastSave="0" documentId="13_ncr:1_{BBCEFA70-370C-42C2-8F94-EEB199FCD1DB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Merchants" sheetId="1" r:id="rId1"/>
    <sheet name="Transactions" sheetId="2" r:id="rId2"/>
    <sheet name="HLOOKUP_Demo" sheetId="3" r:id="rId3"/>
    <sheet name="Pivot_Summary" sheetId="5" r:id="rId4"/>
    <sheet name="Unique_Days" sheetId="4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3" l="1"/>
  <c r="D8" i="3"/>
  <c r="C8" i="3"/>
  <c r="B8" i="3"/>
  <c r="E7" i="3"/>
  <c r="D7" i="3"/>
  <c r="C7" i="3"/>
  <c r="B7" i="3"/>
  <c r="K548" i="2"/>
  <c r="L548" i="2" s="1"/>
  <c r="J548" i="2"/>
  <c r="I548" i="2"/>
  <c r="K547" i="2"/>
  <c r="L547" i="2" s="1"/>
  <c r="J547" i="2"/>
  <c r="I547" i="2"/>
  <c r="K546" i="2"/>
  <c r="L546" i="2" s="1"/>
  <c r="J546" i="2"/>
  <c r="I546" i="2"/>
  <c r="K545" i="2"/>
  <c r="L545" i="2" s="1"/>
  <c r="J545" i="2"/>
  <c r="I545" i="2"/>
  <c r="K544" i="2"/>
  <c r="L544" i="2" s="1"/>
  <c r="J544" i="2"/>
  <c r="I544" i="2"/>
  <c r="K543" i="2"/>
  <c r="L543" i="2" s="1"/>
  <c r="J543" i="2"/>
  <c r="I543" i="2"/>
  <c r="K542" i="2"/>
  <c r="L542" i="2" s="1"/>
  <c r="J542" i="2"/>
  <c r="I542" i="2"/>
  <c r="K541" i="2"/>
  <c r="L541" i="2" s="1"/>
  <c r="J541" i="2"/>
  <c r="I541" i="2"/>
  <c r="K540" i="2"/>
  <c r="L540" i="2" s="1"/>
  <c r="J540" i="2"/>
  <c r="I540" i="2"/>
  <c r="K539" i="2"/>
  <c r="L539" i="2" s="1"/>
  <c r="J539" i="2"/>
  <c r="I539" i="2"/>
  <c r="K538" i="2"/>
  <c r="L538" i="2" s="1"/>
  <c r="J538" i="2"/>
  <c r="I538" i="2"/>
  <c r="K537" i="2"/>
  <c r="L537" i="2" s="1"/>
  <c r="J537" i="2"/>
  <c r="I537" i="2"/>
  <c r="K536" i="2"/>
  <c r="L536" i="2" s="1"/>
  <c r="J536" i="2"/>
  <c r="I536" i="2"/>
  <c r="K535" i="2"/>
  <c r="L535" i="2" s="1"/>
  <c r="J535" i="2"/>
  <c r="I535" i="2"/>
  <c r="K534" i="2"/>
  <c r="L534" i="2" s="1"/>
  <c r="J534" i="2"/>
  <c r="I534" i="2"/>
  <c r="K533" i="2"/>
  <c r="L533" i="2" s="1"/>
  <c r="J533" i="2"/>
  <c r="I533" i="2"/>
  <c r="K532" i="2"/>
  <c r="L532" i="2" s="1"/>
  <c r="J532" i="2"/>
  <c r="I532" i="2"/>
  <c r="K531" i="2"/>
  <c r="L531" i="2" s="1"/>
  <c r="J531" i="2"/>
  <c r="I531" i="2"/>
  <c r="K530" i="2"/>
  <c r="L530" i="2" s="1"/>
  <c r="J530" i="2"/>
  <c r="I530" i="2"/>
  <c r="K529" i="2"/>
  <c r="L529" i="2" s="1"/>
  <c r="J529" i="2"/>
  <c r="I529" i="2"/>
  <c r="K528" i="2"/>
  <c r="L528" i="2" s="1"/>
  <c r="J528" i="2"/>
  <c r="I528" i="2"/>
  <c r="K527" i="2"/>
  <c r="L527" i="2" s="1"/>
  <c r="J527" i="2"/>
  <c r="I527" i="2"/>
  <c r="K526" i="2"/>
  <c r="L526" i="2" s="1"/>
  <c r="J526" i="2"/>
  <c r="I526" i="2"/>
  <c r="K525" i="2"/>
  <c r="L525" i="2" s="1"/>
  <c r="J525" i="2"/>
  <c r="I525" i="2"/>
  <c r="K524" i="2"/>
  <c r="L524" i="2" s="1"/>
  <c r="J524" i="2"/>
  <c r="I524" i="2"/>
  <c r="K523" i="2"/>
  <c r="L523" i="2" s="1"/>
  <c r="J523" i="2"/>
  <c r="I523" i="2"/>
  <c r="K522" i="2"/>
  <c r="L522" i="2" s="1"/>
  <c r="J522" i="2"/>
  <c r="I522" i="2"/>
  <c r="K521" i="2"/>
  <c r="L521" i="2" s="1"/>
  <c r="J521" i="2"/>
  <c r="I521" i="2"/>
  <c r="K520" i="2"/>
  <c r="L520" i="2" s="1"/>
  <c r="J520" i="2"/>
  <c r="I520" i="2"/>
  <c r="K519" i="2"/>
  <c r="L519" i="2" s="1"/>
  <c r="J519" i="2"/>
  <c r="I519" i="2"/>
  <c r="K518" i="2"/>
  <c r="L518" i="2" s="1"/>
  <c r="J518" i="2"/>
  <c r="I518" i="2"/>
  <c r="K517" i="2"/>
  <c r="L517" i="2" s="1"/>
  <c r="J517" i="2"/>
  <c r="I517" i="2"/>
  <c r="L516" i="2"/>
  <c r="K516" i="2"/>
  <c r="J516" i="2"/>
  <c r="I516" i="2"/>
  <c r="K515" i="2"/>
  <c r="L515" i="2" s="1"/>
  <c r="J515" i="2"/>
  <c r="I515" i="2"/>
  <c r="K514" i="2"/>
  <c r="L514" i="2" s="1"/>
  <c r="J514" i="2"/>
  <c r="I514" i="2"/>
  <c r="K513" i="2"/>
  <c r="L513" i="2" s="1"/>
  <c r="J513" i="2"/>
  <c r="I513" i="2"/>
  <c r="K512" i="2"/>
  <c r="L512" i="2" s="1"/>
  <c r="J512" i="2"/>
  <c r="I512" i="2"/>
  <c r="K511" i="2"/>
  <c r="L511" i="2" s="1"/>
  <c r="J511" i="2"/>
  <c r="I511" i="2"/>
  <c r="K510" i="2"/>
  <c r="L510" i="2" s="1"/>
  <c r="J510" i="2"/>
  <c r="I510" i="2"/>
  <c r="K509" i="2"/>
  <c r="L509" i="2" s="1"/>
  <c r="J509" i="2"/>
  <c r="I509" i="2"/>
  <c r="K508" i="2"/>
  <c r="L508" i="2" s="1"/>
  <c r="J508" i="2"/>
  <c r="I508" i="2"/>
  <c r="K507" i="2"/>
  <c r="L507" i="2" s="1"/>
  <c r="J507" i="2"/>
  <c r="I507" i="2"/>
  <c r="K506" i="2"/>
  <c r="L506" i="2" s="1"/>
  <c r="J506" i="2"/>
  <c r="I506" i="2"/>
  <c r="K505" i="2"/>
  <c r="L505" i="2" s="1"/>
  <c r="J505" i="2"/>
  <c r="I505" i="2"/>
  <c r="K504" i="2"/>
  <c r="L504" i="2" s="1"/>
  <c r="J504" i="2"/>
  <c r="I504" i="2"/>
  <c r="K503" i="2"/>
  <c r="L503" i="2" s="1"/>
  <c r="J503" i="2"/>
  <c r="I503" i="2"/>
  <c r="K502" i="2"/>
  <c r="L502" i="2" s="1"/>
  <c r="J502" i="2"/>
  <c r="I502" i="2"/>
  <c r="K501" i="2"/>
  <c r="L501" i="2" s="1"/>
  <c r="J501" i="2"/>
  <c r="I501" i="2"/>
  <c r="K500" i="2"/>
  <c r="L500" i="2" s="1"/>
  <c r="J500" i="2"/>
  <c r="I500" i="2"/>
  <c r="K499" i="2"/>
  <c r="L499" i="2" s="1"/>
  <c r="J499" i="2"/>
  <c r="I499" i="2"/>
  <c r="K498" i="2"/>
  <c r="L498" i="2" s="1"/>
  <c r="J498" i="2"/>
  <c r="I498" i="2"/>
  <c r="K497" i="2"/>
  <c r="L497" i="2" s="1"/>
  <c r="J497" i="2"/>
  <c r="I497" i="2"/>
  <c r="K496" i="2"/>
  <c r="L496" i="2" s="1"/>
  <c r="J496" i="2"/>
  <c r="I496" i="2"/>
  <c r="K495" i="2"/>
  <c r="L495" i="2" s="1"/>
  <c r="J495" i="2"/>
  <c r="I495" i="2"/>
  <c r="K494" i="2"/>
  <c r="L494" i="2" s="1"/>
  <c r="J494" i="2"/>
  <c r="I494" i="2"/>
  <c r="K493" i="2"/>
  <c r="L493" i="2" s="1"/>
  <c r="J493" i="2"/>
  <c r="I493" i="2"/>
  <c r="K492" i="2"/>
  <c r="L492" i="2" s="1"/>
  <c r="J492" i="2"/>
  <c r="I492" i="2"/>
  <c r="K491" i="2"/>
  <c r="L491" i="2" s="1"/>
  <c r="J491" i="2"/>
  <c r="I491" i="2"/>
  <c r="K490" i="2"/>
  <c r="L490" i="2" s="1"/>
  <c r="J490" i="2"/>
  <c r="I490" i="2"/>
  <c r="K489" i="2"/>
  <c r="L489" i="2" s="1"/>
  <c r="J489" i="2"/>
  <c r="I489" i="2"/>
  <c r="K488" i="2"/>
  <c r="L488" i="2" s="1"/>
  <c r="J488" i="2"/>
  <c r="I488" i="2"/>
  <c r="K487" i="2"/>
  <c r="L487" i="2" s="1"/>
  <c r="J487" i="2"/>
  <c r="I487" i="2"/>
  <c r="K486" i="2"/>
  <c r="L486" i="2" s="1"/>
  <c r="J486" i="2"/>
  <c r="I486" i="2"/>
  <c r="K485" i="2"/>
  <c r="L485" i="2" s="1"/>
  <c r="J485" i="2"/>
  <c r="I485" i="2"/>
  <c r="K484" i="2"/>
  <c r="L484" i="2" s="1"/>
  <c r="J484" i="2"/>
  <c r="I484" i="2"/>
  <c r="K483" i="2"/>
  <c r="L483" i="2" s="1"/>
  <c r="J483" i="2"/>
  <c r="I483" i="2"/>
  <c r="K482" i="2"/>
  <c r="L482" i="2" s="1"/>
  <c r="J482" i="2"/>
  <c r="I482" i="2"/>
  <c r="K481" i="2"/>
  <c r="L481" i="2" s="1"/>
  <c r="J481" i="2"/>
  <c r="I481" i="2"/>
  <c r="K480" i="2"/>
  <c r="L480" i="2" s="1"/>
  <c r="J480" i="2"/>
  <c r="I480" i="2"/>
  <c r="K479" i="2"/>
  <c r="L479" i="2" s="1"/>
  <c r="J479" i="2"/>
  <c r="I479" i="2"/>
  <c r="K478" i="2"/>
  <c r="L478" i="2" s="1"/>
  <c r="J478" i="2"/>
  <c r="I478" i="2"/>
  <c r="K477" i="2"/>
  <c r="L477" i="2" s="1"/>
  <c r="J477" i="2"/>
  <c r="I477" i="2"/>
  <c r="K476" i="2"/>
  <c r="L476" i="2" s="1"/>
  <c r="J476" i="2"/>
  <c r="I476" i="2"/>
  <c r="K475" i="2"/>
  <c r="L475" i="2" s="1"/>
  <c r="J475" i="2"/>
  <c r="I475" i="2"/>
  <c r="K474" i="2"/>
  <c r="L474" i="2" s="1"/>
  <c r="J474" i="2"/>
  <c r="I474" i="2"/>
  <c r="K473" i="2"/>
  <c r="L473" i="2" s="1"/>
  <c r="J473" i="2"/>
  <c r="I473" i="2"/>
  <c r="K472" i="2"/>
  <c r="L472" i="2" s="1"/>
  <c r="J472" i="2"/>
  <c r="I472" i="2"/>
  <c r="K471" i="2"/>
  <c r="L471" i="2" s="1"/>
  <c r="J471" i="2"/>
  <c r="I471" i="2"/>
  <c r="K470" i="2"/>
  <c r="L470" i="2" s="1"/>
  <c r="J470" i="2"/>
  <c r="I470" i="2"/>
  <c r="K469" i="2"/>
  <c r="L469" i="2" s="1"/>
  <c r="J469" i="2"/>
  <c r="I469" i="2"/>
  <c r="K468" i="2"/>
  <c r="L468" i="2" s="1"/>
  <c r="J468" i="2"/>
  <c r="I468" i="2"/>
  <c r="K467" i="2"/>
  <c r="L467" i="2" s="1"/>
  <c r="J467" i="2"/>
  <c r="I467" i="2"/>
  <c r="K466" i="2"/>
  <c r="L466" i="2" s="1"/>
  <c r="J466" i="2"/>
  <c r="I466" i="2"/>
  <c r="K465" i="2"/>
  <c r="L465" i="2" s="1"/>
  <c r="J465" i="2"/>
  <c r="I465" i="2"/>
  <c r="K464" i="2"/>
  <c r="L464" i="2" s="1"/>
  <c r="J464" i="2"/>
  <c r="I464" i="2"/>
  <c r="K463" i="2"/>
  <c r="L463" i="2" s="1"/>
  <c r="J463" i="2"/>
  <c r="I463" i="2"/>
  <c r="K462" i="2"/>
  <c r="L462" i="2" s="1"/>
  <c r="J462" i="2"/>
  <c r="I462" i="2"/>
  <c r="K461" i="2"/>
  <c r="L461" i="2" s="1"/>
  <c r="J461" i="2"/>
  <c r="I461" i="2"/>
  <c r="K460" i="2"/>
  <c r="L460" i="2" s="1"/>
  <c r="J460" i="2"/>
  <c r="I460" i="2"/>
  <c r="K459" i="2"/>
  <c r="L459" i="2" s="1"/>
  <c r="J459" i="2"/>
  <c r="I459" i="2"/>
  <c r="K458" i="2"/>
  <c r="L458" i="2" s="1"/>
  <c r="J458" i="2"/>
  <c r="I458" i="2"/>
  <c r="K457" i="2"/>
  <c r="L457" i="2" s="1"/>
  <c r="J457" i="2"/>
  <c r="I457" i="2"/>
  <c r="K456" i="2"/>
  <c r="L456" i="2" s="1"/>
  <c r="J456" i="2"/>
  <c r="I456" i="2"/>
  <c r="K455" i="2"/>
  <c r="L455" i="2" s="1"/>
  <c r="J455" i="2"/>
  <c r="I455" i="2"/>
  <c r="K454" i="2"/>
  <c r="L454" i="2" s="1"/>
  <c r="J454" i="2"/>
  <c r="I454" i="2"/>
  <c r="K453" i="2"/>
  <c r="L453" i="2" s="1"/>
  <c r="J453" i="2"/>
  <c r="I453" i="2"/>
  <c r="L452" i="2"/>
  <c r="K452" i="2"/>
  <c r="J452" i="2"/>
  <c r="I452" i="2"/>
  <c r="K451" i="2"/>
  <c r="L451" i="2" s="1"/>
  <c r="J451" i="2"/>
  <c r="I451" i="2"/>
  <c r="K450" i="2"/>
  <c r="L450" i="2" s="1"/>
  <c r="J450" i="2"/>
  <c r="I450" i="2"/>
  <c r="K449" i="2"/>
  <c r="L449" i="2" s="1"/>
  <c r="J449" i="2"/>
  <c r="I449" i="2"/>
  <c r="K448" i="2"/>
  <c r="L448" i="2" s="1"/>
  <c r="J448" i="2"/>
  <c r="I448" i="2"/>
  <c r="K447" i="2"/>
  <c r="L447" i="2" s="1"/>
  <c r="J447" i="2"/>
  <c r="I447" i="2"/>
  <c r="K446" i="2"/>
  <c r="L446" i="2" s="1"/>
  <c r="J446" i="2"/>
  <c r="I446" i="2"/>
  <c r="K445" i="2"/>
  <c r="L445" i="2" s="1"/>
  <c r="J445" i="2"/>
  <c r="I445" i="2"/>
  <c r="K444" i="2"/>
  <c r="L444" i="2" s="1"/>
  <c r="J444" i="2"/>
  <c r="I444" i="2"/>
  <c r="K443" i="2"/>
  <c r="L443" i="2" s="1"/>
  <c r="J443" i="2"/>
  <c r="I443" i="2"/>
  <c r="K442" i="2"/>
  <c r="L442" i="2" s="1"/>
  <c r="J442" i="2"/>
  <c r="I442" i="2"/>
  <c r="K441" i="2"/>
  <c r="L441" i="2" s="1"/>
  <c r="J441" i="2"/>
  <c r="I441" i="2"/>
  <c r="K440" i="2"/>
  <c r="L440" i="2" s="1"/>
  <c r="J440" i="2"/>
  <c r="I440" i="2"/>
  <c r="K439" i="2"/>
  <c r="L439" i="2" s="1"/>
  <c r="J439" i="2"/>
  <c r="I439" i="2"/>
  <c r="K438" i="2"/>
  <c r="L438" i="2" s="1"/>
  <c r="J438" i="2"/>
  <c r="I438" i="2"/>
  <c r="K437" i="2"/>
  <c r="L437" i="2" s="1"/>
  <c r="J437" i="2"/>
  <c r="I437" i="2"/>
  <c r="K436" i="2"/>
  <c r="L436" i="2" s="1"/>
  <c r="J436" i="2"/>
  <c r="I436" i="2"/>
  <c r="K435" i="2"/>
  <c r="L435" i="2" s="1"/>
  <c r="J435" i="2"/>
  <c r="I435" i="2"/>
  <c r="K434" i="2"/>
  <c r="L434" i="2" s="1"/>
  <c r="J434" i="2"/>
  <c r="I434" i="2"/>
  <c r="K433" i="2"/>
  <c r="L433" i="2" s="1"/>
  <c r="J433" i="2"/>
  <c r="I433" i="2"/>
  <c r="K432" i="2"/>
  <c r="L432" i="2" s="1"/>
  <c r="J432" i="2"/>
  <c r="I432" i="2"/>
  <c r="K431" i="2"/>
  <c r="L431" i="2" s="1"/>
  <c r="J431" i="2"/>
  <c r="I431" i="2"/>
  <c r="K430" i="2"/>
  <c r="L430" i="2" s="1"/>
  <c r="J430" i="2"/>
  <c r="I430" i="2"/>
  <c r="K429" i="2"/>
  <c r="L429" i="2" s="1"/>
  <c r="J429" i="2"/>
  <c r="I429" i="2"/>
  <c r="K428" i="2"/>
  <c r="L428" i="2" s="1"/>
  <c r="J428" i="2"/>
  <c r="I428" i="2"/>
  <c r="K427" i="2"/>
  <c r="L427" i="2" s="1"/>
  <c r="J427" i="2"/>
  <c r="I427" i="2"/>
  <c r="K426" i="2"/>
  <c r="L426" i="2" s="1"/>
  <c r="J426" i="2"/>
  <c r="I426" i="2"/>
  <c r="K425" i="2"/>
  <c r="L425" i="2" s="1"/>
  <c r="J425" i="2"/>
  <c r="I425" i="2"/>
  <c r="K424" i="2"/>
  <c r="L424" i="2" s="1"/>
  <c r="J424" i="2"/>
  <c r="I424" i="2"/>
  <c r="K423" i="2"/>
  <c r="L423" i="2" s="1"/>
  <c r="J423" i="2"/>
  <c r="I423" i="2"/>
  <c r="K422" i="2"/>
  <c r="L422" i="2" s="1"/>
  <c r="J422" i="2"/>
  <c r="I422" i="2"/>
  <c r="K421" i="2"/>
  <c r="L421" i="2" s="1"/>
  <c r="J421" i="2"/>
  <c r="I421" i="2"/>
  <c r="K420" i="2"/>
  <c r="L420" i="2" s="1"/>
  <c r="J420" i="2"/>
  <c r="I420" i="2"/>
  <c r="K419" i="2"/>
  <c r="L419" i="2" s="1"/>
  <c r="J419" i="2"/>
  <c r="I419" i="2"/>
  <c r="K418" i="2"/>
  <c r="L418" i="2" s="1"/>
  <c r="J418" i="2"/>
  <c r="I418" i="2"/>
  <c r="K417" i="2"/>
  <c r="L417" i="2" s="1"/>
  <c r="J417" i="2"/>
  <c r="I417" i="2"/>
  <c r="K416" i="2"/>
  <c r="L416" i="2" s="1"/>
  <c r="J416" i="2"/>
  <c r="I416" i="2"/>
  <c r="K415" i="2"/>
  <c r="L415" i="2" s="1"/>
  <c r="J415" i="2"/>
  <c r="I415" i="2"/>
  <c r="K414" i="2"/>
  <c r="L414" i="2" s="1"/>
  <c r="J414" i="2"/>
  <c r="I414" i="2"/>
  <c r="L413" i="2"/>
  <c r="K413" i="2"/>
  <c r="J413" i="2"/>
  <c r="I413" i="2"/>
  <c r="K412" i="2"/>
  <c r="L412" i="2" s="1"/>
  <c r="J412" i="2"/>
  <c r="I412" i="2"/>
  <c r="K411" i="2"/>
  <c r="L411" i="2" s="1"/>
  <c r="J411" i="2"/>
  <c r="I411" i="2"/>
  <c r="K410" i="2"/>
  <c r="L410" i="2" s="1"/>
  <c r="J410" i="2"/>
  <c r="I410" i="2"/>
  <c r="K409" i="2"/>
  <c r="L409" i="2" s="1"/>
  <c r="J409" i="2"/>
  <c r="I409" i="2"/>
  <c r="K408" i="2"/>
  <c r="L408" i="2" s="1"/>
  <c r="J408" i="2"/>
  <c r="I408" i="2"/>
  <c r="K407" i="2"/>
  <c r="L407" i="2" s="1"/>
  <c r="J407" i="2"/>
  <c r="I407" i="2"/>
  <c r="K406" i="2"/>
  <c r="L406" i="2" s="1"/>
  <c r="J406" i="2"/>
  <c r="I406" i="2"/>
  <c r="K405" i="2"/>
  <c r="L405" i="2" s="1"/>
  <c r="J405" i="2"/>
  <c r="I405" i="2"/>
  <c r="K404" i="2"/>
  <c r="L404" i="2" s="1"/>
  <c r="J404" i="2"/>
  <c r="I404" i="2"/>
  <c r="K403" i="2"/>
  <c r="L403" i="2" s="1"/>
  <c r="J403" i="2"/>
  <c r="I403" i="2"/>
  <c r="K402" i="2"/>
  <c r="L402" i="2" s="1"/>
  <c r="J402" i="2"/>
  <c r="I402" i="2"/>
  <c r="K401" i="2"/>
  <c r="L401" i="2" s="1"/>
  <c r="J401" i="2"/>
  <c r="I401" i="2"/>
  <c r="K400" i="2"/>
  <c r="L400" i="2" s="1"/>
  <c r="J400" i="2"/>
  <c r="I400" i="2"/>
  <c r="K399" i="2"/>
  <c r="L399" i="2" s="1"/>
  <c r="J399" i="2"/>
  <c r="I399" i="2"/>
  <c r="K398" i="2"/>
  <c r="L398" i="2" s="1"/>
  <c r="J398" i="2"/>
  <c r="I398" i="2"/>
  <c r="K397" i="2"/>
  <c r="L397" i="2" s="1"/>
  <c r="J397" i="2"/>
  <c r="I397" i="2"/>
  <c r="K396" i="2"/>
  <c r="L396" i="2" s="1"/>
  <c r="J396" i="2"/>
  <c r="I396" i="2"/>
  <c r="K395" i="2"/>
  <c r="L395" i="2" s="1"/>
  <c r="J395" i="2"/>
  <c r="I395" i="2"/>
  <c r="K394" i="2"/>
  <c r="L394" i="2" s="1"/>
  <c r="J394" i="2"/>
  <c r="I394" i="2"/>
  <c r="K393" i="2"/>
  <c r="L393" i="2" s="1"/>
  <c r="J393" i="2"/>
  <c r="I393" i="2"/>
  <c r="K392" i="2"/>
  <c r="L392" i="2" s="1"/>
  <c r="J392" i="2"/>
  <c r="I392" i="2"/>
  <c r="K391" i="2"/>
  <c r="L391" i="2" s="1"/>
  <c r="J391" i="2"/>
  <c r="I391" i="2"/>
  <c r="K390" i="2"/>
  <c r="L390" i="2" s="1"/>
  <c r="J390" i="2"/>
  <c r="I390" i="2"/>
  <c r="K389" i="2"/>
  <c r="L389" i="2" s="1"/>
  <c r="J389" i="2"/>
  <c r="I389" i="2"/>
  <c r="K388" i="2"/>
  <c r="L388" i="2" s="1"/>
  <c r="J388" i="2"/>
  <c r="I388" i="2"/>
  <c r="K387" i="2"/>
  <c r="L387" i="2" s="1"/>
  <c r="J387" i="2"/>
  <c r="I387" i="2"/>
  <c r="K386" i="2"/>
  <c r="L386" i="2" s="1"/>
  <c r="J386" i="2"/>
  <c r="I386" i="2"/>
  <c r="K385" i="2"/>
  <c r="L385" i="2" s="1"/>
  <c r="J385" i="2"/>
  <c r="I385" i="2"/>
  <c r="K384" i="2"/>
  <c r="L384" i="2" s="1"/>
  <c r="J384" i="2"/>
  <c r="I384" i="2"/>
  <c r="K383" i="2"/>
  <c r="L383" i="2" s="1"/>
  <c r="J383" i="2"/>
  <c r="I383" i="2"/>
  <c r="K382" i="2"/>
  <c r="L382" i="2" s="1"/>
  <c r="J382" i="2"/>
  <c r="I382" i="2"/>
  <c r="K381" i="2"/>
  <c r="L381" i="2" s="1"/>
  <c r="J381" i="2"/>
  <c r="I381" i="2"/>
  <c r="K380" i="2"/>
  <c r="L380" i="2" s="1"/>
  <c r="J380" i="2"/>
  <c r="I380" i="2"/>
  <c r="K379" i="2"/>
  <c r="L379" i="2" s="1"/>
  <c r="J379" i="2"/>
  <c r="I379" i="2"/>
  <c r="K378" i="2"/>
  <c r="L378" i="2" s="1"/>
  <c r="J378" i="2"/>
  <c r="I378" i="2"/>
  <c r="K377" i="2"/>
  <c r="L377" i="2" s="1"/>
  <c r="J377" i="2"/>
  <c r="I377" i="2"/>
  <c r="K376" i="2"/>
  <c r="L376" i="2" s="1"/>
  <c r="J376" i="2"/>
  <c r="I376" i="2"/>
  <c r="K375" i="2"/>
  <c r="L375" i="2" s="1"/>
  <c r="J375" i="2"/>
  <c r="I375" i="2"/>
  <c r="K374" i="2"/>
  <c r="L374" i="2" s="1"/>
  <c r="J374" i="2"/>
  <c r="I374" i="2"/>
  <c r="K373" i="2"/>
  <c r="L373" i="2" s="1"/>
  <c r="J373" i="2"/>
  <c r="I373" i="2"/>
  <c r="K372" i="2"/>
  <c r="L372" i="2" s="1"/>
  <c r="J372" i="2"/>
  <c r="I372" i="2"/>
  <c r="K371" i="2"/>
  <c r="L371" i="2" s="1"/>
  <c r="J371" i="2"/>
  <c r="I371" i="2"/>
  <c r="K370" i="2"/>
  <c r="L370" i="2" s="1"/>
  <c r="J370" i="2"/>
  <c r="I370" i="2"/>
  <c r="K369" i="2"/>
  <c r="L369" i="2" s="1"/>
  <c r="J369" i="2"/>
  <c r="I369" i="2"/>
  <c r="K368" i="2"/>
  <c r="L368" i="2" s="1"/>
  <c r="J368" i="2"/>
  <c r="I368" i="2"/>
  <c r="K367" i="2"/>
  <c r="L367" i="2" s="1"/>
  <c r="J367" i="2"/>
  <c r="I367" i="2"/>
  <c r="K366" i="2"/>
  <c r="L366" i="2" s="1"/>
  <c r="J366" i="2"/>
  <c r="I366" i="2"/>
  <c r="K365" i="2"/>
  <c r="L365" i="2" s="1"/>
  <c r="J365" i="2"/>
  <c r="I365" i="2"/>
  <c r="K364" i="2"/>
  <c r="L364" i="2" s="1"/>
  <c r="J364" i="2"/>
  <c r="I364" i="2"/>
  <c r="K363" i="2"/>
  <c r="L363" i="2" s="1"/>
  <c r="J363" i="2"/>
  <c r="I363" i="2"/>
  <c r="K362" i="2"/>
  <c r="L362" i="2" s="1"/>
  <c r="J362" i="2"/>
  <c r="I362" i="2"/>
  <c r="K361" i="2"/>
  <c r="L361" i="2" s="1"/>
  <c r="J361" i="2"/>
  <c r="I361" i="2"/>
  <c r="K360" i="2"/>
  <c r="L360" i="2" s="1"/>
  <c r="J360" i="2"/>
  <c r="I360" i="2"/>
  <c r="K359" i="2"/>
  <c r="L359" i="2" s="1"/>
  <c r="J359" i="2"/>
  <c r="I359" i="2"/>
  <c r="K358" i="2"/>
  <c r="L358" i="2" s="1"/>
  <c r="J358" i="2"/>
  <c r="I358" i="2"/>
  <c r="K357" i="2"/>
  <c r="L357" i="2" s="1"/>
  <c r="J357" i="2"/>
  <c r="I357" i="2"/>
  <c r="K356" i="2"/>
  <c r="L356" i="2" s="1"/>
  <c r="J356" i="2"/>
  <c r="I356" i="2"/>
  <c r="K355" i="2"/>
  <c r="L355" i="2" s="1"/>
  <c r="J355" i="2"/>
  <c r="I355" i="2"/>
  <c r="K354" i="2"/>
  <c r="L354" i="2" s="1"/>
  <c r="J354" i="2"/>
  <c r="I354" i="2"/>
  <c r="K353" i="2"/>
  <c r="L353" i="2" s="1"/>
  <c r="J353" i="2"/>
  <c r="I353" i="2"/>
  <c r="K352" i="2"/>
  <c r="L352" i="2" s="1"/>
  <c r="J352" i="2"/>
  <c r="I352" i="2"/>
  <c r="K351" i="2"/>
  <c r="L351" i="2" s="1"/>
  <c r="J351" i="2"/>
  <c r="I351" i="2"/>
  <c r="L350" i="2"/>
  <c r="K350" i="2"/>
  <c r="J350" i="2"/>
  <c r="I350" i="2"/>
  <c r="K349" i="2"/>
  <c r="L349" i="2" s="1"/>
  <c r="J349" i="2"/>
  <c r="I349" i="2"/>
  <c r="K348" i="2"/>
  <c r="L348" i="2" s="1"/>
  <c r="J348" i="2"/>
  <c r="I348" i="2"/>
  <c r="L347" i="2"/>
  <c r="K347" i="2"/>
  <c r="J347" i="2"/>
  <c r="I347" i="2"/>
  <c r="L346" i="2"/>
  <c r="K346" i="2"/>
  <c r="J346" i="2"/>
  <c r="I346" i="2"/>
  <c r="K345" i="2"/>
  <c r="L345" i="2" s="1"/>
  <c r="J345" i="2"/>
  <c r="I345" i="2"/>
  <c r="K344" i="2"/>
  <c r="L344" i="2" s="1"/>
  <c r="J344" i="2"/>
  <c r="I344" i="2"/>
  <c r="K343" i="2"/>
  <c r="L343" i="2" s="1"/>
  <c r="J343" i="2"/>
  <c r="I343" i="2"/>
  <c r="K342" i="2"/>
  <c r="L342" i="2" s="1"/>
  <c r="J342" i="2"/>
  <c r="I342" i="2"/>
  <c r="K341" i="2"/>
  <c r="L341" i="2" s="1"/>
  <c r="J341" i="2"/>
  <c r="I341" i="2"/>
  <c r="K340" i="2"/>
  <c r="L340" i="2" s="1"/>
  <c r="J340" i="2"/>
  <c r="I340" i="2"/>
  <c r="K339" i="2"/>
  <c r="L339" i="2" s="1"/>
  <c r="J339" i="2"/>
  <c r="I339" i="2"/>
  <c r="K338" i="2"/>
  <c r="L338" i="2" s="1"/>
  <c r="J338" i="2"/>
  <c r="I338" i="2"/>
  <c r="K337" i="2"/>
  <c r="L337" i="2" s="1"/>
  <c r="J337" i="2"/>
  <c r="I337" i="2"/>
  <c r="K336" i="2"/>
  <c r="L336" i="2" s="1"/>
  <c r="J336" i="2"/>
  <c r="I336" i="2"/>
  <c r="K335" i="2"/>
  <c r="L335" i="2" s="1"/>
  <c r="J335" i="2"/>
  <c r="I335" i="2"/>
  <c r="K334" i="2"/>
  <c r="L334" i="2" s="1"/>
  <c r="J334" i="2"/>
  <c r="I334" i="2"/>
  <c r="K333" i="2"/>
  <c r="L333" i="2" s="1"/>
  <c r="J333" i="2"/>
  <c r="I333" i="2"/>
  <c r="K332" i="2"/>
  <c r="L332" i="2" s="1"/>
  <c r="J332" i="2"/>
  <c r="I332" i="2"/>
  <c r="K331" i="2"/>
  <c r="L331" i="2" s="1"/>
  <c r="J331" i="2"/>
  <c r="I331" i="2"/>
  <c r="K330" i="2"/>
  <c r="L330" i="2" s="1"/>
  <c r="J330" i="2"/>
  <c r="I330" i="2"/>
  <c r="K329" i="2"/>
  <c r="L329" i="2" s="1"/>
  <c r="J329" i="2"/>
  <c r="I329" i="2"/>
  <c r="K328" i="2"/>
  <c r="L328" i="2" s="1"/>
  <c r="J328" i="2"/>
  <c r="I328" i="2"/>
  <c r="K327" i="2"/>
  <c r="L327" i="2" s="1"/>
  <c r="J327" i="2"/>
  <c r="I327" i="2"/>
  <c r="K326" i="2"/>
  <c r="L326" i="2" s="1"/>
  <c r="J326" i="2"/>
  <c r="I326" i="2"/>
  <c r="K325" i="2"/>
  <c r="L325" i="2" s="1"/>
  <c r="J325" i="2"/>
  <c r="I325" i="2"/>
  <c r="K324" i="2"/>
  <c r="L324" i="2" s="1"/>
  <c r="J324" i="2"/>
  <c r="I324" i="2"/>
  <c r="K323" i="2"/>
  <c r="L323" i="2" s="1"/>
  <c r="J323" i="2"/>
  <c r="I323" i="2"/>
  <c r="K322" i="2"/>
  <c r="L322" i="2" s="1"/>
  <c r="J322" i="2"/>
  <c r="I322" i="2"/>
  <c r="K321" i="2"/>
  <c r="L321" i="2" s="1"/>
  <c r="J321" i="2"/>
  <c r="I321" i="2"/>
  <c r="K320" i="2"/>
  <c r="L320" i="2" s="1"/>
  <c r="J320" i="2"/>
  <c r="I320" i="2"/>
  <c r="K319" i="2"/>
  <c r="L319" i="2" s="1"/>
  <c r="J319" i="2"/>
  <c r="I319" i="2"/>
  <c r="K318" i="2"/>
  <c r="L318" i="2" s="1"/>
  <c r="J318" i="2"/>
  <c r="I318" i="2"/>
  <c r="K317" i="2"/>
  <c r="L317" i="2" s="1"/>
  <c r="J317" i="2"/>
  <c r="I317" i="2"/>
  <c r="K316" i="2"/>
  <c r="L316" i="2" s="1"/>
  <c r="J316" i="2"/>
  <c r="I316" i="2"/>
  <c r="K315" i="2"/>
  <c r="L315" i="2" s="1"/>
  <c r="J315" i="2"/>
  <c r="I315" i="2"/>
  <c r="K314" i="2"/>
  <c r="L314" i="2" s="1"/>
  <c r="J314" i="2"/>
  <c r="I314" i="2"/>
  <c r="K313" i="2"/>
  <c r="L313" i="2" s="1"/>
  <c r="J313" i="2"/>
  <c r="I313" i="2"/>
  <c r="K312" i="2"/>
  <c r="L312" i="2" s="1"/>
  <c r="J312" i="2"/>
  <c r="I312" i="2"/>
  <c r="K311" i="2"/>
  <c r="L311" i="2" s="1"/>
  <c r="J311" i="2"/>
  <c r="I311" i="2"/>
  <c r="K310" i="2"/>
  <c r="L310" i="2" s="1"/>
  <c r="J310" i="2"/>
  <c r="I310" i="2"/>
  <c r="K309" i="2"/>
  <c r="L309" i="2" s="1"/>
  <c r="J309" i="2"/>
  <c r="I309" i="2"/>
  <c r="K308" i="2"/>
  <c r="L308" i="2" s="1"/>
  <c r="J308" i="2"/>
  <c r="I308" i="2"/>
  <c r="K307" i="2"/>
  <c r="L307" i="2" s="1"/>
  <c r="J307" i="2"/>
  <c r="I307" i="2"/>
  <c r="K306" i="2"/>
  <c r="L306" i="2" s="1"/>
  <c r="J306" i="2"/>
  <c r="I306" i="2"/>
  <c r="K305" i="2"/>
  <c r="L305" i="2" s="1"/>
  <c r="J305" i="2"/>
  <c r="I305" i="2"/>
  <c r="K304" i="2"/>
  <c r="L304" i="2" s="1"/>
  <c r="J304" i="2"/>
  <c r="I304" i="2"/>
  <c r="K303" i="2"/>
  <c r="L303" i="2" s="1"/>
  <c r="J303" i="2"/>
  <c r="I303" i="2"/>
  <c r="K302" i="2"/>
  <c r="L302" i="2" s="1"/>
  <c r="J302" i="2"/>
  <c r="I302" i="2"/>
  <c r="K301" i="2"/>
  <c r="L301" i="2" s="1"/>
  <c r="J301" i="2"/>
  <c r="I301" i="2"/>
  <c r="K300" i="2"/>
  <c r="L300" i="2" s="1"/>
  <c r="J300" i="2"/>
  <c r="I300" i="2"/>
  <c r="K299" i="2"/>
  <c r="L299" i="2" s="1"/>
  <c r="J299" i="2"/>
  <c r="I299" i="2"/>
  <c r="K298" i="2"/>
  <c r="L298" i="2" s="1"/>
  <c r="J298" i="2"/>
  <c r="I298" i="2"/>
  <c r="K297" i="2"/>
  <c r="L297" i="2" s="1"/>
  <c r="J297" i="2"/>
  <c r="I297" i="2"/>
  <c r="K296" i="2"/>
  <c r="L296" i="2" s="1"/>
  <c r="J296" i="2"/>
  <c r="I296" i="2"/>
  <c r="K295" i="2"/>
  <c r="L295" i="2" s="1"/>
  <c r="J295" i="2"/>
  <c r="I295" i="2"/>
  <c r="K294" i="2"/>
  <c r="L294" i="2" s="1"/>
  <c r="J294" i="2"/>
  <c r="I294" i="2"/>
  <c r="K293" i="2"/>
  <c r="L293" i="2" s="1"/>
  <c r="J293" i="2"/>
  <c r="I293" i="2"/>
  <c r="K292" i="2"/>
  <c r="L292" i="2" s="1"/>
  <c r="J292" i="2"/>
  <c r="I292" i="2"/>
  <c r="L291" i="2"/>
  <c r="K291" i="2"/>
  <c r="J291" i="2"/>
  <c r="I291" i="2"/>
  <c r="K290" i="2"/>
  <c r="L290" i="2" s="1"/>
  <c r="J290" i="2"/>
  <c r="I290" i="2"/>
  <c r="K289" i="2"/>
  <c r="L289" i="2" s="1"/>
  <c r="J289" i="2"/>
  <c r="I289" i="2"/>
  <c r="K288" i="2"/>
  <c r="L288" i="2" s="1"/>
  <c r="J288" i="2"/>
  <c r="I288" i="2"/>
  <c r="L287" i="2"/>
  <c r="K287" i="2"/>
  <c r="J287" i="2"/>
  <c r="I287" i="2"/>
  <c r="L286" i="2"/>
  <c r="K286" i="2"/>
  <c r="J286" i="2"/>
  <c r="I286" i="2"/>
  <c r="K285" i="2"/>
  <c r="L285" i="2" s="1"/>
  <c r="J285" i="2"/>
  <c r="I285" i="2"/>
  <c r="K284" i="2"/>
  <c r="L284" i="2" s="1"/>
  <c r="J284" i="2"/>
  <c r="I284" i="2"/>
  <c r="K283" i="2"/>
  <c r="L283" i="2" s="1"/>
  <c r="J283" i="2"/>
  <c r="I283" i="2"/>
  <c r="K282" i="2"/>
  <c r="L282" i="2" s="1"/>
  <c r="J282" i="2"/>
  <c r="I282" i="2"/>
  <c r="K281" i="2"/>
  <c r="L281" i="2" s="1"/>
  <c r="J281" i="2"/>
  <c r="I281" i="2"/>
  <c r="K280" i="2"/>
  <c r="L280" i="2" s="1"/>
  <c r="J280" i="2"/>
  <c r="I280" i="2"/>
  <c r="K279" i="2"/>
  <c r="L279" i="2" s="1"/>
  <c r="J279" i="2"/>
  <c r="I279" i="2"/>
  <c r="K278" i="2"/>
  <c r="L278" i="2" s="1"/>
  <c r="J278" i="2"/>
  <c r="I278" i="2"/>
  <c r="K277" i="2"/>
  <c r="L277" i="2" s="1"/>
  <c r="J277" i="2"/>
  <c r="I277" i="2"/>
  <c r="K276" i="2"/>
  <c r="L276" i="2" s="1"/>
  <c r="J276" i="2"/>
  <c r="I276" i="2"/>
  <c r="K275" i="2"/>
  <c r="L275" i="2" s="1"/>
  <c r="J275" i="2"/>
  <c r="I275" i="2"/>
  <c r="K274" i="2"/>
  <c r="L274" i="2" s="1"/>
  <c r="J274" i="2"/>
  <c r="I274" i="2"/>
  <c r="K273" i="2"/>
  <c r="L273" i="2" s="1"/>
  <c r="J273" i="2"/>
  <c r="I273" i="2"/>
  <c r="K272" i="2"/>
  <c r="L272" i="2" s="1"/>
  <c r="J272" i="2"/>
  <c r="I272" i="2"/>
  <c r="K271" i="2"/>
  <c r="L271" i="2" s="1"/>
  <c r="J271" i="2"/>
  <c r="I271" i="2"/>
  <c r="K270" i="2"/>
  <c r="L270" i="2" s="1"/>
  <c r="J270" i="2"/>
  <c r="I270" i="2"/>
  <c r="K269" i="2"/>
  <c r="L269" i="2" s="1"/>
  <c r="J269" i="2"/>
  <c r="I269" i="2"/>
  <c r="K268" i="2"/>
  <c r="L268" i="2" s="1"/>
  <c r="J268" i="2"/>
  <c r="I268" i="2"/>
  <c r="K267" i="2"/>
  <c r="L267" i="2" s="1"/>
  <c r="J267" i="2"/>
  <c r="I267" i="2"/>
  <c r="K266" i="2"/>
  <c r="L266" i="2" s="1"/>
  <c r="J266" i="2"/>
  <c r="I266" i="2"/>
  <c r="K265" i="2"/>
  <c r="L265" i="2" s="1"/>
  <c r="J265" i="2"/>
  <c r="I265" i="2"/>
  <c r="K264" i="2"/>
  <c r="L264" i="2" s="1"/>
  <c r="J264" i="2"/>
  <c r="I264" i="2"/>
  <c r="K263" i="2"/>
  <c r="L263" i="2" s="1"/>
  <c r="J263" i="2"/>
  <c r="I263" i="2"/>
  <c r="K262" i="2"/>
  <c r="L262" i="2" s="1"/>
  <c r="J262" i="2"/>
  <c r="I262" i="2"/>
  <c r="K261" i="2"/>
  <c r="L261" i="2" s="1"/>
  <c r="J261" i="2"/>
  <c r="I261" i="2"/>
  <c r="K260" i="2"/>
  <c r="L260" i="2" s="1"/>
  <c r="J260" i="2"/>
  <c r="I260" i="2"/>
  <c r="K259" i="2"/>
  <c r="L259" i="2" s="1"/>
  <c r="J259" i="2"/>
  <c r="I259" i="2"/>
  <c r="K258" i="2"/>
  <c r="L258" i="2" s="1"/>
  <c r="J258" i="2"/>
  <c r="I258" i="2"/>
  <c r="K257" i="2"/>
  <c r="L257" i="2" s="1"/>
  <c r="J257" i="2"/>
  <c r="I257" i="2"/>
  <c r="K256" i="2"/>
  <c r="L256" i="2" s="1"/>
  <c r="J256" i="2"/>
  <c r="I256" i="2"/>
  <c r="K255" i="2"/>
  <c r="L255" i="2" s="1"/>
  <c r="J255" i="2"/>
  <c r="I255" i="2"/>
  <c r="K254" i="2"/>
  <c r="L254" i="2" s="1"/>
  <c r="J254" i="2"/>
  <c r="I254" i="2"/>
  <c r="L253" i="2"/>
  <c r="K253" i="2"/>
  <c r="J253" i="2"/>
  <c r="I253" i="2"/>
  <c r="K252" i="2"/>
  <c r="L252" i="2" s="1"/>
  <c r="J252" i="2"/>
  <c r="I252" i="2"/>
  <c r="K251" i="2"/>
  <c r="L251" i="2" s="1"/>
  <c r="J251" i="2"/>
  <c r="I251" i="2"/>
  <c r="K250" i="2"/>
  <c r="L250" i="2" s="1"/>
  <c r="J250" i="2"/>
  <c r="I250" i="2"/>
  <c r="K249" i="2"/>
  <c r="L249" i="2" s="1"/>
  <c r="J249" i="2"/>
  <c r="I249" i="2"/>
  <c r="K248" i="2"/>
  <c r="L248" i="2" s="1"/>
  <c r="J248" i="2"/>
  <c r="I248" i="2"/>
  <c r="K247" i="2"/>
  <c r="L247" i="2" s="1"/>
  <c r="J247" i="2"/>
  <c r="I247" i="2"/>
  <c r="K246" i="2"/>
  <c r="L246" i="2" s="1"/>
  <c r="J246" i="2"/>
  <c r="I246" i="2"/>
  <c r="K245" i="2"/>
  <c r="L245" i="2" s="1"/>
  <c r="J245" i="2"/>
  <c r="I245" i="2"/>
  <c r="K244" i="2"/>
  <c r="L244" i="2" s="1"/>
  <c r="J244" i="2"/>
  <c r="I244" i="2"/>
  <c r="K243" i="2"/>
  <c r="L243" i="2" s="1"/>
  <c r="J243" i="2"/>
  <c r="I243" i="2"/>
  <c r="K242" i="2"/>
  <c r="L242" i="2" s="1"/>
  <c r="J242" i="2"/>
  <c r="I242" i="2"/>
  <c r="K241" i="2"/>
  <c r="L241" i="2" s="1"/>
  <c r="J241" i="2"/>
  <c r="I241" i="2"/>
  <c r="K240" i="2"/>
  <c r="L240" i="2" s="1"/>
  <c r="J240" i="2"/>
  <c r="I240" i="2"/>
  <c r="K239" i="2"/>
  <c r="L239" i="2" s="1"/>
  <c r="J239" i="2"/>
  <c r="I239" i="2"/>
  <c r="K238" i="2"/>
  <c r="L238" i="2" s="1"/>
  <c r="J238" i="2"/>
  <c r="I238" i="2"/>
  <c r="K237" i="2"/>
  <c r="L237" i="2" s="1"/>
  <c r="J237" i="2"/>
  <c r="I237" i="2"/>
  <c r="K236" i="2"/>
  <c r="L236" i="2" s="1"/>
  <c r="J236" i="2"/>
  <c r="I236" i="2"/>
  <c r="K235" i="2"/>
  <c r="L235" i="2" s="1"/>
  <c r="J235" i="2"/>
  <c r="I235" i="2"/>
  <c r="K234" i="2"/>
  <c r="L234" i="2" s="1"/>
  <c r="J234" i="2"/>
  <c r="I234" i="2"/>
  <c r="K233" i="2"/>
  <c r="L233" i="2" s="1"/>
  <c r="J233" i="2"/>
  <c r="I233" i="2"/>
  <c r="K232" i="2"/>
  <c r="L232" i="2" s="1"/>
  <c r="J232" i="2"/>
  <c r="I232" i="2"/>
  <c r="K231" i="2"/>
  <c r="L231" i="2" s="1"/>
  <c r="J231" i="2"/>
  <c r="I231" i="2"/>
  <c r="K230" i="2"/>
  <c r="L230" i="2" s="1"/>
  <c r="J230" i="2"/>
  <c r="I230" i="2"/>
  <c r="K229" i="2"/>
  <c r="L229" i="2" s="1"/>
  <c r="J229" i="2"/>
  <c r="I229" i="2"/>
  <c r="K228" i="2"/>
  <c r="L228" i="2" s="1"/>
  <c r="J228" i="2"/>
  <c r="I228" i="2"/>
  <c r="K227" i="2"/>
  <c r="L227" i="2" s="1"/>
  <c r="J227" i="2"/>
  <c r="I227" i="2"/>
  <c r="K226" i="2"/>
  <c r="L226" i="2" s="1"/>
  <c r="J226" i="2"/>
  <c r="I226" i="2"/>
  <c r="K225" i="2"/>
  <c r="L225" i="2" s="1"/>
  <c r="J225" i="2"/>
  <c r="I225" i="2"/>
  <c r="K224" i="2"/>
  <c r="L224" i="2" s="1"/>
  <c r="J224" i="2"/>
  <c r="I224" i="2"/>
  <c r="K223" i="2"/>
  <c r="L223" i="2" s="1"/>
  <c r="J223" i="2"/>
  <c r="I223" i="2"/>
  <c r="K222" i="2"/>
  <c r="L222" i="2" s="1"/>
  <c r="J222" i="2"/>
  <c r="I222" i="2"/>
  <c r="K221" i="2"/>
  <c r="L221" i="2" s="1"/>
  <c r="J221" i="2"/>
  <c r="I221" i="2"/>
  <c r="K220" i="2"/>
  <c r="L220" i="2" s="1"/>
  <c r="J220" i="2"/>
  <c r="I220" i="2"/>
  <c r="K219" i="2"/>
  <c r="L219" i="2" s="1"/>
  <c r="J219" i="2"/>
  <c r="I219" i="2"/>
  <c r="K218" i="2"/>
  <c r="L218" i="2" s="1"/>
  <c r="J218" i="2"/>
  <c r="I218" i="2"/>
  <c r="K217" i="2"/>
  <c r="L217" i="2" s="1"/>
  <c r="J217" i="2"/>
  <c r="I217" i="2"/>
  <c r="K216" i="2"/>
  <c r="L216" i="2" s="1"/>
  <c r="J216" i="2"/>
  <c r="I216" i="2"/>
  <c r="K215" i="2"/>
  <c r="L215" i="2" s="1"/>
  <c r="J215" i="2"/>
  <c r="I215" i="2"/>
  <c r="K214" i="2"/>
  <c r="L214" i="2" s="1"/>
  <c r="J214" i="2"/>
  <c r="I214" i="2"/>
  <c r="K213" i="2"/>
  <c r="L213" i="2" s="1"/>
  <c r="J213" i="2"/>
  <c r="I213" i="2"/>
  <c r="K212" i="2"/>
  <c r="L212" i="2" s="1"/>
  <c r="J212" i="2"/>
  <c r="I212" i="2"/>
  <c r="K211" i="2"/>
  <c r="L211" i="2" s="1"/>
  <c r="J211" i="2"/>
  <c r="I211" i="2"/>
  <c r="K210" i="2"/>
  <c r="L210" i="2" s="1"/>
  <c r="J210" i="2"/>
  <c r="I210" i="2"/>
  <c r="K209" i="2"/>
  <c r="L209" i="2" s="1"/>
  <c r="J209" i="2"/>
  <c r="I209" i="2"/>
  <c r="K208" i="2"/>
  <c r="L208" i="2" s="1"/>
  <c r="J208" i="2"/>
  <c r="I208" i="2"/>
  <c r="K207" i="2"/>
  <c r="L207" i="2" s="1"/>
  <c r="J207" i="2"/>
  <c r="I207" i="2"/>
  <c r="K206" i="2"/>
  <c r="L206" i="2" s="1"/>
  <c r="J206" i="2"/>
  <c r="I206" i="2"/>
  <c r="K205" i="2"/>
  <c r="L205" i="2" s="1"/>
  <c r="J205" i="2"/>
  <c r="I205" i="2"/>
  <c r="K204" i="2"/>
  <c r="L204" i="2" s="1"/>
  <c r="J204" i="2"/>
  <c r="I204" i="2"/>
  <c r="K203" i="2"/>
  <c r="L203" i="2" s="1"/>
  <c r="J203" i="2"/>
  <c r="I203" i="2"/>
  <c r="K202" i="2"/>
  <c r="L202" i="2" s="1"/>
  <c r="J202" i="2"/>
  <c r="I202" i="2"/>
  <c r="K201" i="2"/>
  <c r="L201" i="2" s="1"/>
  <c r="J201" i="2"/>
  <c r="I201" i="2"/>
  <c r="K200" i="2"/>
  <c r="L200" i="2" s="1"/>
  <c r="J200" i="2"/>
  <c r="I200" i="2"/>
  <c r="K199" i="2"/>
  <c r="L199" i="2" s="1"/>
  <c r="J199" i="2"/>
  <c r="I199" i="2"/>
  <c r="K198" i="2"/>
  <c r="L198" i="2" s="1"/>
  <c r="J198" i="2"/>
  <c r="I198" i="2"/>
  <c r="K197" i="2"/>
  <c r="L197" i="2" s="1"/>
  <c r="J197" i="2"/>
  <c r="I197" i="2"/>
  <c r="K196" i="2"/>
  <c r="L196" i="2" s="1"/>
  <c r="J196" i="2"/>
  <c r="I196" i="2"/>
  <c r="K195" i="2"/>
  <c r="L195" i="2" s="1"/>
  <c r="J195" i="2"/>
  <c r="I195" i="2"/>
  <c r="K194" i="2"/>
  <c r="L194" i="2" s="1"/>
  <c r="J194" i="2"/>
  <c r="I194" i="2"/>
  <c r="K193" i="2"/>
  <c r="L193" i="2" s="1"/>
  <c r="J193" i="2"/>
  <c r="I193" i="2"/>
  <c r="K192" i="2"/>
  <c r="L192" i="2" s="1"/>
  <c r="J192" i="2"/>
  <c r="I192" i="2"/>
  <c r="K191" i="2"/>
  <c r="L191" i="2" s="1"/>
  <c r="J191" i="2"/>
  <c r="I191" i="2"/>
  <c r="K190" i="2"/>
  <c r="L190" i="2" s="1"/>
  <c r="J190" i="2"/>
  <c r="I190" i="2"/>
  <c r="K189" i="2"/>
  <c r="L189" i="2" s="1"/>
  <c r="J189" i="2"/>
  <c r="I189" i="2"/>
  <c r="K188" i="2"/>
  <c r="L188" i="2" s="1"/>
  <c r="J188" i="2"/>
  <c r="I188" i="2"/>
  <c r="K187" i="2"/>
  <c r="L187" i="2" s="1"/>
  <c r="J187" i="2"/>
  <c r="I187" i="2"/>
  <c r="K186" i="2"/>
  <c r="L186" i="2" s="1"/>
  <c r="J186" i="2"/>
  <c r="I186" i="2"/>
  <c r="K185" i="2"/>
  <c r="L185" i="2" s="1"/>
  <c r="J185" i="2"/>
  <c r="I185" i="2"/>
  <c r="K184" i="2"/>
  <c r="L184" i="2" s="1"/>
  <c r="J184" i="2"/>
  <c r="I184" i="2"/>
  <c r="K183" i="2"/>
  <c r="L183" i="2" s="1"/>
  <c r="J183" i="2"/>
  <c r="I183" i="2"/>
  <c r="K182" i="2"/>
  <c r="L182" i="2" s="1"/>
  <c r="J182" i="2"/>
  <c r="I182" i="2"/>
  <c r="K181" i="2"/>
  <c r="L181" i="2" s="1"/>
  <c r="J181" i="2"/>
  <c r="I181" i="2"/>
  <c r="K180" i="2"/>
  <c r="L180" i="2" s="1"/>
  <c r="J180" i="2"/>
  <c r="I180" i="2"/>
  <c r="K179" i="2"/>
  <c r="L179" i="2" s="1"/>
  <c r="J179" i="2"/>
  <c r="I179" i="2"/>
  <c r="K178" i="2"/>
  <c r="L178" i="2" s="1"/>
  <c r="J178" i="2"/>
  <c r="I178" i="2"/>
  <c r="K177" i="2"/>
  <c r="L177" i="2" s="1"/>
  <c r="J177" i="2"/>
  <c r="I177" i="2"/>
  <c r="K176" i="2"/>
  <c r="L176" i="2" s="1"/>
  <c r="J176" i="2"/>
  <c r="I176" i="2"/>
  <c r="K175" i="2"/>
  <c r="L175" i="2" s="1"/>
  <c r="J175" i="2"/>
  <c r="I175" i="2"/>
  <c r="K174" i="2"/>
  <c r="L174" i="2" s="1"/>
  <c r="J174" i="2"/>
  <c r="I174" i="2"/>
  <c r="L173" i="2"/>
  <c r="K173" i="2"/>
  <c r="J173" i="2"/>
  <c r="I173" i="2"/>
  <c r="K172" i="2"/>
  <c r="L172" i="2" s="1"/>
  <c r="J172" i="2"/>
  <c r="I172" i="2"/>
  <c r="K171" i="2"/>
  <c r="L171" i="2" s="1"/>
  <c r="J171" i="2"/>
  <c r="I171" i="2"/>
  <c r="K170" i="2"/>
  <c r="L170" i="2" s="1"/>
  <c r="J170" i="2"/>
  <c r="I170" i="2"/>
  <c r="K169" i="2"/>
  <c r="L169" i="2" s="1"/>
  <c r="J169" i="2"/>
  <c r="I169" i="2"/>
  <c r="K168" i="2"/>
  <c r="L168" i="2" s="1"/>
  <c r="J168" i="2"/>
  <c r="I168" i="2"/>
  <c r="K167" i="2"/>
  <c r="L167" i="2" s="1"/>
  <c r="J167" i="2"/>
  <c r="I167" i="2"/>
  <c r="K166" i="2"/>
  <c r="L166" i="2" s="1"/>
  <c r="J166" i="2"/>
  <c r="I166" i="2"/>
  <c r="K165" i="2"/>
  <c r="L165" i="2" s="1"/>
  <c r="J165" i="2"/>
  <c r="I165" i="2"/>
  <c r="K164" i="2"/>
  <c r="L164" i="2" s="1"/>
  <c r="J164" i="2"/>
  <c r="I164" i="2"/>
  <c r="K163" i="2"/>
  <c r="L163" i="2" s="1"/>
  <c r="J163" i="2"/>
  <c r="I163" i="2"/>
  <c r="K162" i="2"/>
  <c r="L162" i="2" s="1"/>
  <c r="J162" i="2"/>
  <c r="I162" i="2"/>
  <c r="K161" i="2"/>
  <c r="L161" i="2" s="1"/>
  <c r="J161" i="2"/>
  <c r="I161" i="2"/>
  <c r="K160" i="2"/>
  <c r="L160" i="2" s="1"/>
  <c r="J160" i="2"/>
  <c r="I160" i="2"/>
  <c r="K159" i="2"/>
  <c r="L159" i="2" s="1"/>
  <c r="J159" i="2"/>
  <c r="I159" i="2"/>
  <c r="K158" i="2"/>
  <c r="L158" i="2" s="1"/>
  <c r="J158" i="2"/>
  <c r="I158" i="2"/>
  <c r="K157" i="2"/>
  <c r="L157" i="2" s="1"/>
  <c r="J157" i="2"/>
  <c r="I157" i="2"/>
  <c r="K156" i="2"/>
  <c r="L156" i="2" s="1"/>
  <c r="J156" i="2"/>
  <c r="I156" i="2"/>
  <c r="K155" i="2"/>
  <c r="L155" i="2" s="1"/>
  <c r="J155" i="2"/>
  <c r="I155" i="2"/>
  <c r="K154" i="2"/>
  <c r="L154" i="2" s="1"/>
  <c r="J154" i="2"/>
  <c r="I154" i="2"/>
  <c r="K153" i="2"/>
  <c r="L153" i="2" s="1"/>
  <c r="J153" i="2"/>
  <c r="I153" i="2"/>
  <c r="K152" i="2"/>
  <c r="L152" i="2" s="1"/>
  <c r="J152" i="2"/>
  <c r="I152" i="2"/>
  <c r="K151" i="2"/>
  <c r="L151" i="2" s="1"/>
  <c r="J151" i="2"/>
  <c r="I151" i="2"/>
  <c r="K150" i="2"/>
  <c r="L150" i="2" s="1"/>
  <c r="J150" i="2"/>
  <c r="I150" i="2"/>
  <c r="K149" i="2"/>
  <c r="L149" i="2" s="1"/>
  <c r="J149" i="2"/>
  <c r="I149" i="2"/>
  <c r="K148" i="2"/>
  <c r="L148" i="2" s="1"/>
  <c r="J148" i="2"/>
  <c r="I148" i="2"/>
  <c r="K147" i="2"/>
  <c r="L147" i="2" s="1"/>
  <c r="J147" i="2"/>
  <c r="I147" i="2"/>
  <c r="K146" i="2"/>
  <c r="L146" i="2" s="1"/>
  <c r="J146" i="2"/>
  <c r="I146" i="2"/>
  <c r="K145" i="2"/>
  <c r="L145" i="2" s="1"/>
  <c r="J145" i="2"/>
  <c r="I145" i="2"/>
  <c r="K144" i="2"/>
  <c r="L144" i="2" s="1"/>
  <c r="J144" i="2"/>
  <c r="I144" i="2"/>
  <c r="K143" i="2"/>
  <c r="L143" i="2" s="1"/>
  <c r="J143" i="2"/>
  <c r="I143" i="2"/>
  <c r="K142" i="2"/>
  <c r="L142" i="2" s="1"/>
  <c r="J142" i="2"/>
  <c r="I142" i="2"/>
  <c r="K141" i="2"/>
  <c r="L141" i="2" s="1"/>
  <c r="J141" i="2"/>
  <c r="I141" i="2"/>
  <c r="L140" i="2"/>
  <c r="K140" i="2"/>
  <c r="J140" i="2"/>
  <c r="I140" i="2"/>
  <c r="K139" i="2"/>
  <c r="L139" i="2" s="1"/>
  <c r="J139" i="2"/>
  <c r="I139" i="2"/>
  <c r="K138" i="2"/>
  <c r="L138" i="2" s="1"/>
  <c r="J138" i="2"/>
  <c r="I138" i="2"/>
  <c r="K137" i="2"/>
  <c r="L137" i="2" s="1"/>
  <c r="J137" i="2"/>
  <c r="I137" i="2"/>
  <c r="K136" i="2"/>
  <c r="L136" i="2" s="1"/>
  <c r="J136" i="2"/>
  <c r="I136" i="2"/>
  <c r="K135" i="2"/>
  <c r="L135" i="2" s="1"/>
  <c r="J135" i="2"/>
  <c r="I135" i="2"/>
  <c r="K134" i="2"/>
  <c r="L134" i="2" s="1"/>
  <c r="J134" i="2"/>
  <c r="I134" i="2"/>
  <c r="K133" i="2"/>
  <c r="L133" i="2" s="1"/>
  <c r="J133" i="2"/>
  <c r="I133" i="2"/>
  <c r="K132" i="2"/>
  <c r="L132" i="2" s="1"/>
  <c r="J132" i="2"/>
  <c r="I132" i="2"/>
  <c r="K131" i="2"/>
  <c r="L131" i="2" s="1"/>
  <c r="J131" i="2"/>
  <c r="I131" i="2"/>
  <c r="K130" i="2"/>
  <c r="L130" i="2" s="1"/>
  <c r="J130" i="2"/>
  <c r="I130" i="2"/>
  <c r="K129" i="2"/>
  <c r="L129" i="2" s="1"/>
  <c r="J129" i="2"/>
  <c r="I129" i="2"/>
  <c r="K128" i="2"/>
  <c r="L128" i="2" s="1"/>
  <c r="J128" i="2"/>
  <c r="I128" i="2"/>
  <c r="K127" i="2"/>
  <c r="L127" i="2" s="1"/>
  <c r="J127" i="2"/>
  <c r="I127" i="2"/>
  <c r="K126" i="2"/>
  <c r="L126" i="2" s="1"/>
  <c r="J126" i="2"/>
  <c r="I126" i="2"/>
  <c r="K125" i="2"/>
  <c r="L125" i="2" s="1"/>
  <c r="J125" i="2"/>
  <c r="I125" i="2"/>
  <c r="K124" i="2"/>
  <c r="L124" i="2" s="1"/>
  <c r="J124" i="2"/>
  <c r="I124" i="2"/>
  <c r="K123" i="2"/>
  <c r="L123" i="2" s="1"/>
  <c r="J123" i="2"/>
  <c r="I123" i="2"/>
  <c r="K122" i="2"/>
  <c r="L122" i="2" s="1"/>
  <c r="J122" i="2"/>
  <c r="I122" i="2"/>
  <c r="K121" i="2"/>
  <c r="L121" i="2" s="1"/>
  <c r="J121" i="2"/>
  <c r="I121" i="2"/>
  <c r="K120" i="2"/>
  <c r="L120" i="2" s="1"/>
  <c r="J120" i="2"/>
  <c r="I120" i="2"/>
  <c r="K119" i="2"/>
  <c r="L119" i="2" s="1"/>
  <c r="J119" i="2"/>
  <c r="I119" i="2"/>
  <c r="K118" i="2"/>
  <c r="L118" i="2" s="1"/>
  <c r="J118" i="2"/>
  <c r="I118" i="2"/>
  <c r="K117" i="2"/>
  <c r="L117" i="2" s="1"/>
  <c r="J117" i="2"/>
  <c r="I117" i="2"/>
  <c r="K116" i="2"/>
  <c r="L116" i="2" s="1"/>
  <c r="J116" i="2"/>
  <c r="I116" i="2"/>
  <c r="K115" i="2"/>
  <c r="L115" i="2" s="1"/>
  <c r="J115" i="2"/>
  <c r="I115" i="2"/>
  <c r="K114" i="2"/>
  <c r="L114" i="2" s="1"/>
  <c r="J114" i="2"/>
  <c r="I114" i="2"/>
  <c r="K113" i="2"/>
  <c r="L113" i="2" s="1"/>
  <c r="J113" i="2"/>
  <c r="I113" i="2"/>
  <c r="K112" i="2"/>
  <c r="L112" i="2" s="1"/>
  <c r="J112" i="2"/>
  <c r="I112" i="2"/>
  <c r="K111" i="2"/>
  <c r="L111" i="2" s="1"/>
  <c r="J111" i="2"/>
  <c r="I111" i="2"/>
  <c r="K110" i="2"/>
  <c r="L110" i="2" s="1"/>
  <c r="J110" i="2"/>
  <c r="I110" i="2"/>
  <c r="K109" i="2"/>
  <c r="L109" i="2" s="1"/>
  <c r="J109" i="2"/>
  <c r="I109" i="2"/>
  <c r="K108" i="2"/>
  <c r="L108" i="2" s="1"/>
  <c r="J108" i="2"/>
  <c r="I108" i="2"/>
  <c r="K107" i="2"/>
  <c r="L107" i="2" s="1"/>
  <c r="J107" i="2"/>
  <c r="I107" i="2"/>
  <c r="K106" i="2"/>
  <c r="L106" i="2" s="1"/>
  <c r="J106" i="2"/>
  <c r="I106" i="2"/>
  <c r="K105" i="2"/>
  <c r="L105" i="2" s="1"/>
  <c r="J105" i="2"/>
  <c r="I105" i="2"/>
  <c r="K104" i="2"/>
  <c r="L104" i="2" s="1"/>
  <c r="J104" i="2"/>
  <c r="I104" i="2"/>
  <c r="K103" i="2"/>
  <c r="L103" i="2" s="1"/>
  <c r="J103" i="2"/>
  <c r="I103" i="2"/>
  <c r="K102" i="2"/>
  <c r="L102" i="2" s="1"/>
  <c r="J102" i="2"/>
  <c r="I102" i="2"/>
  <c r="K101" i="2"/>
  <c r="L101" i="2" s="1"/>
  <c r="J101" i="2"/>
  <c r="I101" i="2"/>
  <c r="K100" i="2"/>
  <c r="L100" i="2" s="1"/>
  <c r="J100" i="2"/>
  <c r="I100" i="2"/>
  <c r="K99" i="2"/>
  <c r="L99" i="2" s="1"/>
  <c r="J99" i="2"/>
  <c r="I99" i="2"/>
  <c r="K98" i="2"/>
  <c r="L98" i="2" s="1"/>
  <c r="J98" i="2"/>
  <c r="I98" i="2"/>
  <c r="K97" i="2"/>
  <c r="L97" i="2" s="1"/>
  <c r="J97" i="2"/>
  <c r="I97" i="2"/>
  <c r="K96" i="2"/>
  <c r="L96" i="2" s="1"/>
  <c r="J96" i="2"/>
  <c r="I96" i="2"/>
  <c r="K95" i="2"/>
  <c r="L95" i="2" s="1"/>
  <c r="J95" i="2"/>
  <c r="I95" i="2"/>
  <c r="K94" i="2"/>
  <c r="L94" i="2" s="1"/>
  <c r="J94" i="2"/>
  <c r="I94" i="2"/>
  <c r="K93" i="2"/>
  <c r="L93" i="2" s="1"/>
  <c r="J93" i="2"/>
  <c r="I93" i="2"/>
  <c r="K92" i="2"/>
  <c r="L92" i="2" s="1"/>
  <c r="J92" i="2"/>
  <c r="I92" i="2"/>
  <c r="K91" i="2"/>
  <c r="L91" i="2" s="1"/>
  <c r="J91" i="2"/>
  <c r="I91" i="2"/>
  <c r="K90" i="2"/>
  <c r="L90" i="2" s="1"/>
  <c r="J90" i="2"/>
  <c r="I90" i="2"/>
  <c r="K89" i="2"/>
  <c r="L89" i="2" s="1"/>
  <c r="J89" i="2"/>
  <c r="I89" i="2"/>
  <c r="K88" i="2"/>
  <c r="L88" i="2" s="1"/>
  <c r="J88" i="2"/>
  <c r="I88" i="2"/>
  <c r="K87" i="2"/>
  <c r="L87" i="2" s="1"/>
  <c r="J87" i="2"/>
  <c r="I87" i="2"/>
  <c r="K86" i="2"/>
  <c r="L86" i="2" s="1"/>
  <c r="J86" i="2"/>
  <c r="I86" i="2"/>
  <c r="K85" i="2"/>
  <c r="L85" i="2" s="1"/>
  <c r="J85" i="2"/>
  <c r="I85" i="2"/>
  <c r="K84" i="2"/>
  <c r="L84" i="2" s="1"/>
  <c r="J84" i="2"/>
  <c r="I84" i="2"/>
  <c r="K83" i="2"/>
  <c r="L83" i="2" s="1"/>
  <c r="J83" i="2"/>
  <c r="I83" i="2"/>
  <c r="K82" i="2"/>
  <c r="L82" i="2" s="1"/>
  <c r="J82" i="2"/>
  <c r="I82" i="2"/>
  <c r="K81" i="2"/>
  <c r="L81" i="2" s="1"/>
  <c r="J81" i="2"/>
  <c r="I81" i="2"/>
  <c r="K80" i="2"/>
  <c r="L80" i="2" s="1"/>
  <c r="J80" i="2"/>
  <c r="I80" i="2"/>
  <c r="K79" i="2"/>
  <c r="L79" i="2" s="1"/>
  <c r="J79" i="2"/>
  <c r="I79" i="2"/>
  <c r="K78" i="2"/>
  <c r="L78" i="2" s="1"/>
  <c r="J78" i="2"/>
  <c r="I78" i="2"/>
  <c r="K77" i="2"/>
  <c r="L77" i="2" s="1"/>
  <c r="J77" i="2"/>
  <c r="I77" i="2"/>
  <c r="K76" i="2"/>
  <c r="L76" i="2" s="1"/>
  <c r="J76" i="2"/>
  <c r="I76" i="2"/>
  <c r="K75" i="2"/>
  <c r="L75" i="2" s="1"/>
  <c r="J75" i="2"/>
  <c r="I75" i="2"/>
  <c r="K74" i="2"/>
  <c r="L74" i="2" s="1"/>
  <c r="J74" i="2"/>
  <c r="I74" i="2"/>
  <c r="K73" i="2"/>
  <c r="L73" i="2" s="1"/>
  <c r="J73" i="2"/>
  <c r="I73" i="2"/>
  <c r="K72" i="2"/>
  <c r="L72" i="2" s="1"/>
  <c r="J72" i="2"/>
  <c r="I72" i="2"/>
  <c r="K71" i="2"/>
  <c r="L71" i="2" s="1"/>
  <c r="J71" i="2"/>
  <c r="I71" i="2"/>
  <c r="L70" i="2"/>
  <c r="K70" i="2"/>
  <c r="J70" i="2"/>
  <c r="I70" i="2"/>
  <c r="K69" i="2"/>
  <c r="L69" i="2" s="1"/>
  <c r="J69" i="2"/>
  <c r="I69" i="2"/>
  <c r="K68" i="2"/>
  <c r="L68" i="2" s="1"/>
  <c r="J68" i="2"/>
  <c r="I68" i="2"/>
  <c r="K67" i="2"/>
  <c r="L67" i="2" s="1"/>
  <c r="J67" i="2"/>
  <c r="I67" i="2"/>
  <c r="K66" i="2"/>
  <c r="L66" i="2" s="1"/>
  <c r="J66" i="2"/>
  <c r="I66" i="2"/>
  <c r="K65" i="2"/>
  <c r="L65" i="2" s="1"/>
  <c r="J65" i="2"/>
  <c r="I65" i="2"/>
  <c r="K64" i="2"/>
  <c r="L64" i="2" s="1"/>
  <c r="J64" i="2"/>
  <c r="I64" i="2"/>
  <c r="K63" i="2"/>
  <c r="L63" i="2" s="1"/>
  <c r="J63" i="2"/>
  <c r="I63" i="2"/>
  <c r="K62" i="2"/>
  <c r="L62" i="2" s="1"/>
  <c r="J62" i="2"/>
  <c r="I62" i="2"/>
  <c r="K61" i="2"/>
  <c r="L61" i="2" s="1"/>
  <c r="J61" i="2"/>
  <c r="I61" i="2"/>
  <c r="K60" i="2"/>
  <c r="L60" i="2" s="1"/>
  <c r="J60" i="2"/>
  <c r="I60" i="2"/>
  <c r="K59" i="2"/>
  <c r="L59" i="2" s="1"/>
  <c r="J59" i="2"/>
  <c r="I59" i="2"/>
  <c r="K58" i="2"/>
  <c r="L58" i="2" s="1"/>
  <c r="J58" i="2"/>
  <c r="I58" i="2"/>
  <c r="K57" i="2"/>
  <c r="L57" i="2" s="1"/>
  <c r="J57" i="2"/>
  <c r="I57" i="2"/>
  <c r="K56" i="2"/>
  <c r="L56" i="2" s="1"/>
  <c r="J56" i="2"/>
  <c r="I56" i="2"/>
  <c r="K55" i="2"/>
  <c r="L55" i="2" s="1"/>
  <c r="J55" i="2"/>
  <c r="I55" i="2"/>
  <c r="K54" i="2"/>
  <c r="L54" i="2" s="1"/>
  <c r="J54" i="2"/>
  <c r="I54" i="2"/>
  <c r="K53" i="2"/>
  <c r="L53" i="2" s="1"/>
  <c r="J53" i="2"/>
  <c r="I53" i="2"/>
  <c r="K52" i="2"/>
  <c r="L52" i="2" s="1"/>
  <c r="J52" i="2"/>
  <c r="I52" i="2"/>
  <c r="K51" i="2"/>
  <c r="L51" i="2" s="1"/>
  <c r="J51" i="2"/>
  <c r="I51" i="2"/>
  <c r="K50" i="2"/>
  <c r="L50" i="2" s="1"/>
  <c r="J50" i="2"/>
  <c r="I50" i="2"/>
  <c r="K49" i="2"/>
  <c r="L49" i="2" s="1"/>
  <c r="J49" i="2"/>
  <c r="I49" i="2"/>
  <c r="K48" i="2"/>
  <c r="L48" i="2" s="1"/>
  <c r="J48" i="2"/>
  <c r="I48" i="2"/>
  <c r="K47" i="2"/>
  <c r="L47" i="2" s="1"/>
  <c r="J47" i="2"/>
  <c r="I47" i="2"/>
  <c r="K46" i="2"/>
  <c r="L46" i="2" s="1"/>
  <c r="J46" i="2"/>
  <c r="I46" i="2"/>
  <c r="K45" i="2"/>
  <c r="L45" i="2" s="1"/>
  <c r="J45" i="2"/>
  <c r="I45" i="2"/>
  <c r="K44" i="2"/>
  <c r="L44" i="2" s="1"/>
  <c r="J44" i="2"/>
  <c r="I44" i="2"/>
  <c r="K43" i="2"/>
  <c r="L43" i="2" s="1"/>
  <c r="J43" i="2"/>
  <c r="I43" i="2"/>
  <c r="K42" i="2"/>
  <c r="L42" i="2" s="1"/>
  <c r="J42" i="2"/>
  <c r="I42" i="2"/>
  <c r="K41" i="2"/>
  <c r="L41" i="2" s="1"/>
  <c r="J41" i="2"/>
  <c r="I41" i="2"/>
  <c r="K40" i="2"/>
  <c r="L40" i="2" s="1"/>
  <c r="J40" i="2"/>
  <c r="I40" i="2"/>
  <c r="K39" i="2"/>
  <c r="L39" i="2" s="1"/>
  <c r="J39" i="2"/>
  <c r="I39" i="2"/>
  <c r="K38" i="2"/>
  <c r="L38" i="2" s="1"/>
  <c r="J38" i="2"/>
  <c r="I38" i="2"/>
  <c r="K37" i="2"/>
  <c r="L37" i="2" s="1"/>
  <c r="J37" i="2"/>
  <c r="I37" i="2"/>
  <c r="L36" i="2"/>
  <c r="K36" i="2"/>
  <c r="J36" i="2"/>
  <c r="I36" i="2"/>
  <c r="K35" i="2"/>
  <c r="L35" i="2" s="1"/>
  <c r="J35" i="2"/>
  <c r="I35" i="2"/>
  <c r="K34" i="2"/>
  <c r="L34" i="2" s="1"/>
  <c r="J34" i="2"/>
  <c r="I34" i="2"/>
  <c r="K33" i="2"/>
  <c r="L33" i="2" s="1"/>
  <c r="J33" i="2"/>
  <c r="I33" i="2"/>
  <c r="K32" i="2"/>
  <c r="L32" i="2" s="1"/>
  <c r="J32" i="2"/>
  <c r="I32" i="2"/>
  <c r="K31" i="2"/>
  <c r="L31" i="2" s="1"/>
  <c r="J31" i="2"/>
  <c r="I31" i="2"/>
  <c r="K30" i="2"/>
  <c r="L30" i="2" s="1"/>
  <c r="J30" i="2"/>
  <c r="I30" i="2"/>
  <c r="K29" i="2"/>
  <c r="L29" i="2" s="1"/>
  <c r="J29" i="2"/>
  <c r="I29" i="2"/>
  <c r="K28" i="2"/>
  <c r="L28" i="2" s="1"/>
  <c r="J28" i="2"/>
  <c r="I28" i="2"/>
  <c r="K27" i="2"/>
  <c r="L27" i="2" s="1"/>
  <c r="J27" i="2"/>
  <c r="I27" i="2"/>
  <c r="K26" i="2"/>
  <c r="L26" i="2" s="1"/>
  <c r="J26" i="2"/>
  <c r="I26" i="2"/>
  <c r="K25" i="2"/>
  <c r="L25" i="2" s="1"/>
  <c r="J25" i="2"/>
  <c r="I25" i="2"/>
  <c r="K24" i="2"/>
  <c r="L24" i="2" s="1"/>
  <c r="J24" i="2"/>
  <c r="I24" i="2"/>
  <c r="K23" i="2"/>
  <c r="L23" i="2" s="1"/>
  <c r="J23" i="2"/>
  <c r="I23" i="2"/>
  <c r="K22" i="2"/>
  <c r="L22" i="2" s="1"/>
  <c r="J22" i="2"/>
  <c r="I22" i="2"/>
  <c r="K21" i="2"/>
  <c r="L21" i="2" s="1"/>
  <c r="J21" i="2"/>
  <c r="I21" i="2"/>
  <c r="K20" i="2"/>
  <c r="L20" i="2" s="1"/>
  <c r="J20" i="2"/>
  <c r="I20" i="2"/>
  <c r="K19" i="2"/>
  <c r="L19" i="2" s="1"/>
  <c r="J19" i="2"/>
  <c r="I19" i="2"/>
  <c r="K18" i="2"/>
  <c r="L18" i="2" s="1"/>
  <c r="J18" i="2"/>
  <c r="I18" i="2"/>
  <c r="K17" i="2"/>
  <c r="L17" i="2" s="1"/>
  <c r="J17" i="2"/>
  <c r="I17" i="2"/>
  <c r="K16" i="2"/>
  <c r="L16" i="2" s="1"/>
  <c r="J16" i="2"/>
  <c r="I16" i="2"/>
  <c r="K15" i="2"/>
  <c r="L15" i="2" s="1"/>
  <c r="J15" i="2"/>
  <c r="I15" i="2"/>
  <c r="K14" i="2"/>
  <c r="L14" i="2" s="1"/>
  <c r="J14" i="2"/>
  <c r="I14" i="2"/>
  <c r="K13" i="2"/>
  <c r="L13" i="2" s="1"/>
  <c r="J13" i="2"/>
  <c r="I13" i="2"/>
  <c r="K12" i="2"/>
  <c r="L12" i="2" s="1"/>
  <c r="J12" i="2"/>
  <c r="I12" i="2"/>
  <c r="K11" i="2"/>
  <c r="L11" i="2" s="1"/>
  <c r="J11" i="2"/>
  <c r="I11" i="2"/>
  <c r="K10" i="2"/>
  <c r="L10" i="2" s="1"/>
  <c r="J10" i="2"/>
  <c r="I10" i="2"/>
  <c r="K9" i="2"/>
  <c r="L9" i="2" s="1"/>
  <c r="J9" i="2"/>
  <c r="I9" i="2"/>
  <c r="K8" i="2"/>
  <c r="L8" i="2" s="1"/>
  <c r="J8" i="2"/>
  <c r="I8" i="2"/>
  <c r="K7" i="2"/>
  <c r="L7" i="2" s="1"/>
  <c r="J7" i="2"/>
  <c r="I7" i="2"/>
  <c r="K6" i="2"/>
  <c r="L6" i="2" s="1"/>
  <c r="J6" i="2"/>
  <c r="I6" i="2"/>
  <c r="K5" i="2"/>
  <c r="L5" i="2" s="1"/>
  <c r="J5" i="2"/>
  <c r="I5" i="2"/>
  <c r="L4" i="2"/>
  <c r="K4" i="2"/>
  <c r="J4" i="2"/>
  <c r="I4" i="2"/>
  <c r="K3" i="2"/>
  <c r="L3" i="2" s="1"/>
  <c r="J3" i="2"/>
  <c r="I3" i="2"/>
  <c r="K2" i="2"/>
  <c r="L2" i="2" s="1"/>
  <c r="J2" i="2"/>
  <c r="I2" i="2"/>
</calcChain>
</file>

<file path=xl/sharedStrings.xml><?xml version="1.0" encoding="utf-8"?>
<sst xmlns="http://schemas.openxmlformats.org/spreadsheetml/2006/main" count="2408" uniqueCount="1189">
  <si>
    <t>merchant_id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</si>
  <si>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</si>
  <si>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</si>
  <si>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</si>
  <si>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</si>
  <si>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</si>
  <si>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</si>
  <si>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</si>
  <si>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</si>
  <si>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</si>
  <si>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</si>
  <si>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</si>
  <si>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</si>
  <si>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</si>
  <si>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</si>
  <si>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</si>
  <si>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</si>
  <si>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</si>
  <si>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</si>
  <si>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</si>
  <si>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</si>
  <si>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</si>
  <si>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</si>
  <si>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</si>
  <si>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</si>
  <si>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</si>
  <si>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</si>
  <si>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</si>
  <si>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</si>
  <si>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</si>
  <si>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</si>
  <si>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</si>
  <si>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</si>
  <si>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</si>
  <si>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</si>
  <si>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</si>
  <si>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</si>
  <si>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</si>
  <si>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</si>
  <si>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</si>
  <si>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</si>
  <si>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</si>
  <si>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</si>
  <si>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</si>
  <si>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</si>
  <si>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</si>
  <si>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</si>
  <si>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</si>
  <si>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</si>
  <si>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</si>
  <si>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</si>
  <si>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</si>
  <si>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</si>
  <si>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</si>
  <si>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</si>
  <si>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transaction_id</t>
  </si>
  <si>
    <t>user_id</t>
  </si>
  <si>
    <t>transaction_time</t>
  </si>
  <si>
    <t>amount_inr</t>
  </si>
  <si>
    <t>payment_method</t>
  </si>
  <si>
    <t>status</t>
  </si>
  <si>
    <t>risk_score</t>
  </si>
  <si>
    <t>merchant_name (VLOOKUP)</t>
  </si>
  <si>
    <t>category (VLOOKUP)</t>
  </si>
  <si>
    <t>region (VLOOKUP)</t>
  </si>
  <si>
    <t>classification (nested IF)</t>
  </si>
  <si>
    <t>VLOOKUP uses fixed range Merchants!$A$2:$D$41 with $ absolute references. IFERROR shows 'Merchant not found' for unmatched merchant_id. Nested IF rule: merchant's daily total (via SUMPRODUCT) &gt; INR 5,000 AND region != 'East' -&gt; 'High-Value Merchant Day'.</t>
  </si>
  <si>
    <t>TXN100000</t>
  </si>
  <si>
    <t>2026-01-29 11:13:00</t>
  </si>
  <si>
    <t>Wallet</t>
  </si>
  <si>
    <t>captured</t>
  </si>
  <si>
    <t>TXN100001</t>
  </si>
  <si>
    <t>2026-01-04 11:49:00</t>
  </si>
  <si>
    <t>UPI</t>
  </si>
  <si>
    <t>TXN100002</t>
  </si>
  <si>
    <t>2026-01-24 04:59:00</t>
  </si>
  <si>
    <t>TXN100003</t>
  </si>
  <si>
    <t>2026-01-29 13:01:00</t>
  </si>
  <si>
    <t>Netbanking</t>
  </si>
  <si>
    <t>TXN100004</t>
  </si>
  <si>
    <t>2026-01-30 13:51:00</t>
  </si>
  <si>
    <t>TXN100005</t>
  </si>
  <si>
    <t>2026-01-06 22:06:00</t>
  </si>
  <si>
    <t>TXN100006</t>
  </si>
  <si>
    <t>2026-01-08 06:52:00</t>
  </si>
  <si>
    <t>TXN100007</t>
  </si>
  <si>
    <t>2026-01-27 07:14:00</t>
  </si>
  <si>
    <t>TXN100008</t>
  </si>
  <si>
    <t>2026-01-11 08:55:00</t>
  </si>
  <si>
    <t>TXN100009</t>
  </si>
  <si>
    <t>2026-01-21 16:25:00</t>
  </si>
  <si>
    <t>TXN100010</t>
  </si>
  <si>
    <t>2026-01-01 03:56:00</t>
  </si>
  <si>
    <t>TXN100011</t>
  </si>
  <si>
    <t>2026-01-09 01:06:00</t>
  </si>
  <si>
    <t>Card</t>
  </si>
  <si>
    <t>failed</t>
  </si>
  <si>
    <t>TXN100012</t>
  </si>
  <si>
    <t>2026-01-24 10:27:00</t>
  </si>
  <si>
    <t>TXN100013</t>
  </si>
  <si>
    <t>2026-01-13 18:12:00</t>
  </si>
  <si>
    <t>TXN100014</t>
  </si>
  <si>
    <t>2026-01-14 00:33:00</t>
  </si>
  <si>
    <t>TXN100015</t>
  </si>
  <si>
    <t>2026-01-14 02:42:00</t>
  </si>
  <si>
    <t>TXN100016</t>
  </si>
  <si>
    <t>2026-01-22 03:46:00</t>
  </si>
  <si>
    <t>TXN100017</t>
  </si>
  <si>
    <t>2026-01-22 13:20:00</t>
  </si>
  <si>
    <t>TXN100018</t>
  </si>
  <si>
    <t>2026-01-05 06:26:00</t>
  </si>
  <si>
    <t>TXN100019</t>
  </si>
  <si>
    <t>2026-01-24 05:39:00</t>
  </si>
  <si>
    <t>TXN100020</t>
  </si>
  <si>
    <t>2026-01-18 00:19:00</t>
  </si>
  <si>
    <t>TXN100021</t>
  </si>
  <si>
    <t>2026-01-26 18:38:00</t>
  </si>
  <si>
    <t>TXN100022</t>
  </si>
  <si>
    <t>2026-01-15 14:43:00</t>
  </si>
  <si>
    <t>TXN100023</t>
  </si>
  <si>
    <t>2026-01-26 23:10:00</t>
  </si>
  <si>
    <t>chargeback</t>
  </si>
  <si>
    <t>TXN100024</t>
  </si>
  <si>
    <t>2026-01-17 21:40:00</t>
  </si>
  <si>
    <t>TXN100025</t>
  </si>
  <si>
    <t>2026-01-27 07:43:00</t>
  </si>
  <si>
    <t>TXN100026</t>
  </si>
  <si>
    <t>2026-01-05 00:02:00</t>
  </si>
  <si>
    <t>TXN100027</t>
  </si>
  <si>
    <t>2026-01-28 02:29:00</t>
  </si>
  <si>
    <t>TXN100028</t>
  </si>
  <si>
    <t>2026-01-23 22:24:00</t>
  </si>
  <si>
    <t>TXN100029</t>
  </si>
  <si>
    <t>2026-01-05 20:44:00</t>
  </si>
  <si>
    <t>TXN100030</t>
  </si>
  <si>
    <t>2026-01-14 07:11:00</t>
  </si>
  <si>
    <t>TXN100031</t>
  </si>
  <si>
    <t>2026-01-18 07:58:00</t>
  </si>
  <si>
    <t>TXN100032</t>
  </si>
  <si>
    <t>2026-01-26 14:42:00</t>
  </si>
  <si>
    <t>TXN100033</t>
  </si>
  <si>
    <t>2026-01-11 14:39:00</t>
  </si>
  <si>
    <t>TXN100034</t>
  </si>
  <si>
    <t>2026-01-15 05:47:00</t>
  </si>
  <si>
    <t>TXN100035</t>
  </si>
  <si>
    <t>2026-01-25 07:53:00</t>
  </si>
  <si>
    <t>TXN100036</t>
  </si>
  <si>
    <t>2026-01-25 16:31:00</t>
  </si>
  <si>
    <t>TXN100037</t>
  </si>
  <si>
    <t>2026-01-15 02:45:00</t>
  </si>
  <si>
    <t>TXN100038</t>
  </si>
  <si>
    <t>2026-01-11 10:57:00</t>
  </si>
  <si>
    <t>TXN100039</t>
  </si>
  <si>
    <t>2026-01-05 07:24:00</t>
  </si>
  <si>
    <t>TXN100040</t>
  </si>
  <si>
    <t>2026-01-14 13:21:00</t>
  </si>
  <si>
    <t>TXN100041</t>
  </si>
  <si>
    <t>2026-01-02 06:53:00</t>
  </si>
  <si>
    <t>TXN100042</t>
  </si>
  <si>
    <t>2026-01-19 22:01:00</t>
  </si>
  <si>
    <t>TXN100043</t>
  </si>
  <si>
    <t>2026-01-01 11:19:00</t>
  </si>
  <si>
    <t>TXN100044</t>
  </si>
  <si>
    <t>2026-01-24 23:34:00</t>
  </si>
  <si>
    <t>TXN100045</t>
  </si>
  <si>
    <t>2026-01-08 08:27:00</t>
  </si>
  <si>
    <t>TXN100046</t>
  </si>
  <si>
    <t>2026-01-11 21:43:00</t>
  </si>
  <si>
    <t>TXN100047</t>
  </si>
  <si>
    <t>2026-01-30 04:39:00</t>
  </si>
  <si>
    <t>TXN100048</t>
  </si>
  <si>
    <t>2026-01-19 18:42:00</t>
  </si>
  <si>
    <t>TXN100049</t>
  </si>
  <si>
    <t>2026-01-14 04:55:00</t>
  </si>
  <si>
    <t>TXN100050</t>
  </si>
  <si>
    <t>2026-01-09 12:20:00</t>
  </si>
  <si>
    <t>TXN100051</t>
  </si>
  <si>
    <t>2026-01-11 12:17:00</t>
  </si>
  <si>
    <t>TXN100052</t>
  </si>
  <si>
    <t>2026-01-16 00:47:00</t>
  </si>
  <si>
    <t>TXN100053</t>
  </si>
  <si>
    <t>2026-01-08 20:04:00</t>
  </si>
  <si>
    <t>TXN100054</t>
  </si>
  <si>
    <t>2026-01-01 07:12:00</t>
  </si>
  <si>
    <t>TXN100055</t>
  </si>
  <si>
    <t>2026-01-08 04:30:00</t>
  </si>
  <si>
    <t>TXN100056</t>
  </si>
  <si>
    <t>2026-01-07 14:44:00</t>
  </si>
  <si>
    <t>TXN100057</t>
  </si>
  <si>
    <t>2026-01-20 19:47:00</t>
  </si>
  <si>
    <t>TXN100058</t>
  </si>
  <si>
    <t>2026-01-04 18:01:00</t>
  </si>
  <si>
    <t>TXN100059</t>
  </si>
  <si>
    <t>2026-01-30 12:25:00</t>
  </si>
  <si>
    <t>TXN100060</t>
  </si>
  <si>
    <t>2026-01-23 20:15:00</t>
  </si>
  <si>
    <t>TXN100061</t>
  </si>
  <si>
    <t>2026-01-20 03:50:00</t>
  </si>
  <si>
    <t>TXN100062</t>
  </si>
  <si>
    <t>2026-01-18 13:42:00</t>
  </si>
  <si>
    <t>TXN100063</t>
  </si>
  <si>
    <t>2026-01-21 10:00:00</t>
  </si>
  <si>
    <t>TXN100064</t>
  </si>
  <si>
    <t>2026-01-14 11:40:00</t>
  </si>
  <si>
    <t>TXN100065</t>
  </si>
  <si>
    <t>2026-01-06 23:33:00</t>
  </si>
  <si>
    <t>TXN100066</t>
  </si>
  <si>
    <t>2026-01-26 17:49:00</t>
  </si>
  <si>
    <t>TXN100067</t>
  </si>
  <si>
    <t>2026-01-27 23:37:00</t>
  </si>
  <si>
    <t>TXN100068</t>
  </si>
  <si>
    <t>2026-01-27 02:17:00</t>
  </si>
  <si>
    <t>TXN100069</t>
  </si>
  <si>
    <t>2026-01-15 18:39:00</t>
  </si>
  <si>
    <t>TXN100070</t>
  </si>
  <si>
    <t>2026-01-01 15:54:00</t>
  </si>
  <si>
    <t>TXN100071</t>
  </si>
  <si>
    <t>2026-01-07 11:51:00</t>
  </si>
  <si>
    <t>TXN100072</t>
  </si>
  <si>
    <t>2026-01-29 19:44:00</t>
  </si>
  <si>
    <t>TXN100073</t>
  </si>
  <si>
    <t>2026-01-17 06:05:00</t>
  </si>
  <si>
    <t>TXN100074</t>
  </si>
  <si>
    <t>2026-01-18 07:44:00</t>
  </si>
  <si>
    <t>TXN100075</t>
  </si>
  <si>
    <t>2026-01-26 00:05:00</t>
  </si>
  <si>
    <t>TXN100076</t>
  </si>
  <si>
    <t>2026-01-23 07:19:00</t>
  </si>
  <si>
    <t>TXN100077</t>
  </si>
  <si>
    <t>2026-01-16 17:33:00</t>
  </si>
  <si>
    <t>TXN100078</t>
  </si>
  <si>
    <t>2026-01-18 10:22:00</t>
  </si>
  <si>
    <t>TXN100079</t>
  </si>
  <si>
    <t>2026-01-09 07:07:00</t>
  </si>
  <si>
    <t>TXN100080</t>
  </si>
  <si>
    <t>2026-01-24 17:48:00</t>
  </si>
  <si>
    <t>TXN100081</t>
  </si>
  <si>
    <t>2026-01-24 15:17:00</t>
  </si>
  <si>
    <t>TXN100082</t>
  </si>
  <si>
    <t>2026-01-10 03:53:00</t>
  </si>
  <si>
    <t>TXN100083</t>
  </si>
  <si>
    <t>2026-01-12 05:19:00</t>
  </si>
  <si>
    <t>TXN100084</t>
  </si>
  <si>
    <t>2026-01-09 01:03:00</t>
  </si>
  <si>
    <t>TXN100085</t>
  </si>
  <si>
    <t>2026-01-05 20:55:00</t>
  </si>
  <si>
    <t>TXN100086</t>
  </si>
  <si>
    <t>2026-01-19 09:30:00</t>
  </si>
  <si>
    <t>TXN100087</t>
  </si>
  <si>
    <t>2026-01-06 01:16:00</t>
  </si>
  <si>
    <t>TXN100088</t>
  </si>
  <si>
    <t>2026-01-13 15:04:00</t>
  </si>
  <si>
    <t>TXN100089</t>
  </si>
  <si>
    <t>2026-01-05 18:19:00</t>
  </si>
  <si>
    <t>TXN100090</t>
  </si>
  <si>
    <t>2026-01-18 13:38:00</t>
  </si>
  <si>
    <t>TXN100091</t>
  </si>
  <si>
    <t>2026-01-25 16:24:00</t>
  </si>
  <si>
    <t>TXN100092</t>
  </si>
  <si>
    <t>2026-01-28 18:27:00</t>
  </si>
  <si>
    <t>TXN100093</t>
  </si>
  <si>
    <t>2026-01-02 19:47:00</t>
  </si>
  <si>
    <t>TXN100094</t>
  </si>
  <si>
    <t>2026-01-07 08:42:00</t>
  </si>
  <si>
    <t>TXN100095</t>
  </si>
  <si>
    <t>2026-01-06 17:04:00</t>
  </si>
  <si>
    <t>TXN100096</t>
  </si>
  <si>
    <t>2026-01-15 22:38:00</t>
  </si>
  <si>
    <t>TXN100097</t>
  </si>
  <si>
    <t>2026-01-08 09:45:00</t>
  </si>
  <si>
    <t>TXN100098</t>
  </si>
  <si>
    <t>2026-01-22 07:59:00</t>
  </si>
  <si>
    <t>TXN100099</t>
  </si>
  <si>
    <t>2026-01-26 06:27:00</t>
  </si>
  <si>
    <t>TXN100100</t>
  </si>
  <si>
    <t>2026-01-21 04:58:00</t>
  </si>
  <si>
    <t>TXN100101</t>
  </si>
  <si>
    <t>2026-01-02 05:50:00</t>
  </si>
  <si>
    <t>TXN100102</t>
  </si>
  <si>
    <t>2026-01-27 18:58:00</t>
  </si>
  <si>
    <t>TXN100103</t>
  </si>
  <si>
    <t>2026-01-15 22:19:00</t>
  </si>
  <si>
    <t>TXN100104</t>
  </si>
  <si>
    <t>2026-01-18 15:28:00</t>
  </si>
  <si>
    <t>TXN100105</t>
  </si>
  <si>
    <t>2026-01-29 13:47:00</t>
  </si>
  <si>
    <t>TXN100106</t>
  </si>
  <si>
    <t>2026-01-01 02:14:00</t>
  </si>
  <si>
    <t>TXN100107</t>
  </si>
  <si>
    <t>2026-01-01 21:52:00</t>
  </si>
  <si>
    <t>TXN100108</t>
  </si>
  <si>
    <t>2026-01-25 05:30:00</t>
  </si>
  <si>
    <t>TXN100109</t>
  </si>
  <si>
    <t>2026-01-06 18:27:00</t>
  </si>
  <si>
    <t>TXN100110</t>
  </si>
  <si>
    <t>2026-01-16 11:26:00</t>
  </si>
  <si>
    <t>TXN100111</t>
  </si>
  <si>
    <t>2026-01-04 05:21:00</t>
  </si>
  <si>
    <t>TXN100112</t>
  </si>
  <si>
    <t>2026-01-22 12:52:00</t>
  </si>
  <si>
    <t>TXN100113</t>
  </si>
  <si>
    <t>2026-01-03 10:16:00</t>
  </si>
  <si>
    <t>TXN100114</t>
  </si>
  <si>
    <t>2026-01-13 16:52:00</t>
  </si>
  <si>
    <t>TXN100115</t>
  </si>
  <si>
    <t>2026-01-14 01:12:00</t>
  </si>
  <si>
    <t>TXN100116</t>
  </si>
  <si>
    <t>2026-01-25 15:40:00</t>
  </si>
  <si>
    <t>TXN100117</t>
  </si>
  <si>
    <t>2026-01-09 17:08:00</t>
  </si>
  <si>
    <t>TXN100118</t>
  </si>
  <si>
    <t>2026-01-16 03:01:00</t>
  </si>
  <si>
    <t>TXN100119</t>
  </si>
  <si>
    <t>2026-01-23 05:19:00</t>
  </si>
  <si>
    <t>TXN100120</t>
  </si>
  <si>
    <t>2026-01-14 02:14:00</t>
  </si>
  <si>
    <t>TXN100121</t>
  </si>
  <si>
    <t>2026-01-21 04:31:00</t>
  </si>
  <si>
    <t>TXN100122</t>
  </si>
  <si>
    <t>2026-01-09 13:53:00</t>
  </si>
  <si>
    <t>TXN100123</t>
  </si>
  <si>
    <t>2026-01-15 17:09:00</t>
  </si>
  <si>
    <t>TXN100124</t>
  </si>
  <si>
    <t>2026-01-17 23:56:00</t>
  </si>
  <si>
    <t>TXN100125</t>
  </si>
  <si>
    <t>2026-01-25 13:21:00</t>
  </si>
  <si>
    <t>TXN100126</t>
  </si>
  <si>
    <t>2026-01-10 23:19:00</t>
  </si>
  <si>
    <t>TXN100127</t>
  </si>
  <si>
    <t>2026-01-16 04:28:00</t>
  </si>
  <si>
    <t>TXN100128</t>
  </si>
  <si>
    <t>2026-01-11 17:48:00</t>
  </si>
  <si>
    <t>TXN100129</t>
  </si>
  <si>
    <t>2026-01-30 10:55:00</t>
  </si>
  <si>
    <t>TXN100130</t>
  </si>
  <si>
    <t>2026-01-13 07:54:00</t>
  </si>
  <si>
    <t>TXN100131</t>
  </si>
  <si>
    <t>2026-01-24 15:45:00</t>
  </si>
  <si>
    <t>TXN100132</t>
  </si>
  <si>
    <t>2026-01-26 20:09:00</t>
  </si>
  <si>
    <t>TXN100133</t>
  </si>
  <si>
    <t>2026-01-17 18:21:00</t>
  </si>
  <si>
    <t>TXN100134</t>
  </si>
  <si>
    <t>2026-01-17 14:00:00</t>
  </si>
  <si>
    <t>TXN100135</t>
  </si>
  <si>
    <t>2026-01-05 02:30:00</t>
  </si>
  <si>
    <t>TXN100136</t>
  </si>
  <si>
    <t>2026-01-23 12:41:00</t>
  </si>
  <si>
    <t>TXN100137</t>
  </si>
  <si>
    <t>2026-01-28 17:24:00</t>
  </si>
  <si>
    <t>TXN100138</t>
  </si>
  <si>
    <t>2026-01-02 19:04:00</t>
  </si>
  <si>
    <t>TXN100139</t>
  </si>
  <si>
    <t>2026-01-24 02:27:00</t>
  </si>
  <si>
    <t>TXN100140</t>
  </si>
  <si>
    <t>2026-01-06 22:19:00</t>
  </si>
  <si>
    <t>TXN100141</t>
  </si>
  <si>
    <t>2026-01-26 01:18:00</t>
  </si>
  <si>
    <t>TXN100142</t>
  </si>
  <si>
    <t>2026-01-05 07:33:00</t>
  </si>
  <si>
    <t>TXN100143</t>
  </si>
  <si>
    <t>2026-01-26 05:10:00</t>
  </si>
  <si>
    <t>TXN100144</t>
  </si>
  <si>
    <t>2026-01-28 12:39:00</t>
  </si>
  <si>
    <t>TXN100145</t>
  </si>
  <si>
    <t>2026-01-30 18:09:00</t>
  </si>
  <si>
    <t>TXN100146</t>
  </si>
  <si>
    <t>2026-01-09 14:16:00</t>
  </si>
  <si>
    <t>TXN100147</t>
  </si>
  <si>
    <t>2026-01-29 09:43:00</t>
  </si>
  <si>
    <t>TXN100148</t>
  </si>
  <si>
    <t>2026-01-15 11:37:00</t>
  </si>
  <si>
    <t>TXN100149</t>
  </si>
  <si>
    <t>2026-01-09 14:54:00</t>
  </si>
  <si>
    <t>TXN100150</t>
  </si>
  <si>
    <t>2026-01-28 15:06:00</t>
  </si>
  <si>
    <t>TXN100151</t>
  </si>
  <si>
    <t>2026-01-12 18:18:00</t>
  </si>
  <si>
    <t>TXN100152</t>
  </si>
  <si>
    <t>2026-01-13 08:00:00</t>
  </si>
  <si>
    <t>TXN100153</t>
  </si>
  <si>
    <t>2026-01-24 15:53:00</t>
  </si>
  <si>
    <t>TXN100154</t>
  </si>
  <si>
    <t>2026-01-26 11:14:00</t>
  </si>
  <si>
    <t>TXN100155</t>
  </si>
  <si>
    <t>2026-01-09 21:48:00</t>
  </si>
  <si>
    <t>TXN100156</t>
  </si>
  <si>
    <t>2026-01-04 20:41:00</t>
  </si>
  <si>
    <t>TXN100157</t>
  </si>
  <si>
    <t>2026-01-15 01:37:00</t>
  </si>
  <si>
    <t>TXN100158</t>
  </si>
  <si>
    <t>2026-01-30 09:20:00</t>
  </si>
  <si>
    <t>TXN100159</t>
  </si>
  <si>
    <t>2026-01-05 17:56:00</t>
  </si>
  <si>
    <t>TXN100160</t>
  </si>
  <si>
    <t>2026-01-30 08:53:00</t>
  </si>
  <si>
    <t>TXN100161</t>
  </si>
  <si>
    <t>2026-01-26 09:47:00</t>
  </si>
  <si>
    <t>TXN100162</t>
  </si>
  <si>
    <t>2026-01-03 04:48:00</t>
  </si>
  <si>
    <t>TXN100163</t>
  </si>
  <si>
    <t>2026-01-12 02:50:00</t>
  </si>
  <si>
    <t>TXN100164</t>
  </si>
  <si>
    <t>2026-01-18 03:29:00</t>
  </si>
  <si>
    <t>TXN100165</t>
  </si>
  <si>
    <t>2026-01-13 20:23:00</t>
  </si>
  <si>
    <t>TXN100166</t>
  </si>
  <si>
    <t>2026-01-01 19:56:00</t>
  </si>
  <si>
    <t>TXN100167</t>
  </si>
  <si>
    <t>TXN100168</t>
  </si>
  <si>
    <t>2026-01-10 20:26:00</t>
  </si>
  <si>
    <t>TXN100169</t>
  </si>
  <si>
    <t>2026-01-02 09:31:00</t>
  </si>
  <si>
    <t>TXN100170</t>
  </si>
  <si>
    <t>2026-01-29 17:08:00</t>
  </si>
  <si>
    <t>TXN100171</t>
  </si>
  <si>
    <t>2026-01-22 23:44:00</t>
  </si>
  <si>
    <t>TXN100172</t>
  </si>
  <si>
    <t>2026-01-24 23:09:00</t>
  </si>
  <si>
    <t>TXN100173</t>
  </si>
  <si>
    <t>2026-01-20 13:17:00</t>
  </si>
  <si>
    <t>TXN100174</t>
  </si>
  <si>
    <t>2026-01-15 14:15:00</t>
  </si>
  <si>
    <t>TXN100175</t>
  </si>
  <si>
    <t>2026-01-12 17:57:00</t>
  </si>
  <si>
    <t>TXN100176</t>
  </si>
  <si>
    <t>2026-01-13 08:12:00</t>
  </si>
  <si>
    <t>TXN100177</t>
  </si>
  <si>
    <t>2026-01-22 06:41:00</t>
  </si>
  <si>
    <t>TXN100178</t>
  </si>
  <si>
    <t>2026-01-02 10:15:00</t>
  </si>
  <si>
    <t>TXN100179</t>
  </si>
  <si>
    <t>2026-01-03 17:13:00</t>
  </si>
  <si>
    <t>TXN100180</t>
  </si>
  <si>
    <t>2026-01-11 04:50:00</t>
  </si>
  <si>
    <t>TXN100181</t>
  </si>
  <si>
    <t>2026-01-28 04:08:00</t>
  </si>
  <si>
    <t>TXN100182</t>
  </si>
  <si>
    <t>2026-01-04 21:55:00</t>
  </si>
  <si>
    <t>TXN100183</t>
  </si>
  <si>
    <t>2026-01-12 07:37:00</t>
  </si>
  <si>
    <t>TXN100184</t>
  </si>
  <si>
    <t>2026-01-09 01:08:00</t>
  </si>
  <si>
    <t>TXN100185</t>
  </si>
  <si>
    <t>2026-01-24 02:30:00</t>
  </si>
  <si>
    <t>TXN100186</t>
  </si>
  <si>
    <t>2026-01-19 03:28:00</t>
  </si>
  <si>
    <t>TXN100187</t>
  </si>
  <si>
    <t>2026-01-02 23:50:00</t>
  </si>
  <si>
    <t>TXN100188</t>
  </si>
  <si>
    <t>2026-01-15 20:01:00</t>
  </si>
  <si>
    <t>TXN100189</t>
  </si>
  <si>
    <t>2026-01-14 21:06:00</t>
  </si>
  <si>
    <t>TXN100190</t>
  </si>
  <si>
    <t>2026-01-29 02:20:00</t>
  </si>
  <si>
    <t>TXN100191</t>
  </si>
  <si>
    <t>2026-01-05 08:39:00</t>
  </si>
  <si>
    <t>TXN100192</t>
  </si>
  <si>
    <t>2026-01-23 10:24:00</t>
  </si>
  <si>
    <t>TXN100193</t>
  </si>
  <si>
    <t>2026-01-15 16:38:00</t>
  </si>
  <si>
    <t>TXN100194</t>
  </si>
  <si>
    <t>TXN100195</t>
  </si>
  <si>
    <t>2026-01-15 07:26:00</t>
  </si>
  <si>
    <t>TXN100196</t>
  </si>
  <si>
    <t>2026-01-14 23:06:00</t>
  </si>
  <si>
    <t>TXN100197</t>
  </si>
  <si>
    <t>2026-01-22 08:23:00</t>
  </si>
  <si>
    <t>TXN100198</t>
  </si>
  <si>
    <t>2026-01-03 02:05:00</t>
  </si>
  <si>
    <t>TXN100199</t>
  </si>
  <si>
    <t>2026-01-24 11:51:00</t>
  </si>
  <si>
    <t>TXN100200</t>
  </si>
  <si>
    <t>2026-01-19 17:35:00</t>
  </si>
  <si>
    <t>TXN100201</t>
  </si>
  <si>
    <t>2026-01-12 21:48:00</t>
  </si>
  <si>
    <t>TXN100202</t>
  </si>
  <si>
    <t>2026-01-20 09:22:00</t>
  </si>
  <si>
    <t>TXN100203</t>
  </si>
  <si>
    <t>2026-01-07 04:42:00</t>
  </si>
  <si>
    <t>TXN100204</t>
  </si>
  <si>
    <t>2026-01-12 17:23:00</t>
  </si>
  <si>
    <t>TXN100205</t>
  </si>
  <si>
    <t>2026-01-08 13:54:00</t>
  </si>
  <si>
    <t>TXN100206</t>
  </si>
  <si>
    <t>2026-01-22 20:35:00</t>
  </si>
  <si>
    <t>TXN100207</t>
  </si>
  <si>
    <t>2026-01-27 22:17:00</t>
  </si>
  <si>
    <t>TXN100208</t>
  </si>
  <si>
    <t>2026-01-23 09:58:00</t>
  </si>
  <si>
    <t>TXN100209</t>
  </si>
  <si>
    <t>2026-01-06 04:36:00</t>
  </si>
  <si>
    <t>TXN100210</t>
  </si>
  <si>
    <t>2026-01-05 23:40:00</t>
  </si>
  <si>
    <t>TXN100211</t>
  </si>
  <si>
    <t>2026-01-17 06:24:00</t>
  </si>
  <si>
    <t>TXN100212</t>
  </si>
  <si>
    <t>2026-01-06 11:19:00</t>
  </si>
  <si>
    <t>TXN100213</t>
  </si>
  <si>
    <t>2026-01-03 01:09:00</t>
  </si>
  <si>
    <t>TXN100214</t>
  </si>
  <si>
    <t>2026-01-22 02:17:00</t>
  </si>
  <si>
    <t>TXN100215</t>
  </si>
  <si>
    <t>2026-01-20 14:26:00</t>
  </si>
  <si>
    <t>TXN100216</t>
  </si>
  <si>
    <t>2026-01-17 03:22:00</t>
  </si>
  <si>
    <t>TXN100217</t>
  </si>
  <si>
    <t>2026-01-22 21:37:00</t>
  </si>
  <si>
    <t>TXN100218</t>
  </si>
  <si>
    <t>2026-01-10 01:14:00</t>
  </si>
  <si>
    <t>TXN100219</t>
  </si>
  <si>
    <t>2026-01-01 06:19:00</t>
  </si>
  <si>
    <t>TXN100220</t>
  </si>
  <si>
    <t>2026-01-09 09:20:00</t>
  </si>
  <si>
    <t>TXN100221</t>
  </si>
  <si>
    <t>2026-01-24 13:11:00</t>
  </si>
  <si>
    <t>TXN100222</t>
  </si>
  <si>
    <t>2026-01-23 07:32:00</t>
  </si>
  <si>
    <t>TXN100223</t>
  </si>
  <si>
    <t>2026-01-13 23:02:00</t>
  </si>
  <si>
    <t>TXN100224</t>
  </si>
  <si>
    <t>2026-01-30 02:55:00</t>
  </si>
  <si>
    <t>TXN100225</t>
  </si>
  <si>
    <t>2026-01-19 12:45:00</t>
  </si>
  <si>
    <t>TXN100226</t>
  </si>
  <si>
    <t>2026-01-04 12:01:00</t>
  </si>
  <si>
    <t>TXN100227</t>
  </si>
  <si>
    <t>2026-01-15 22:58:00</t>
  </si>
  <si>
    <t>TXN100228</t>
  </si>
  <si>
    <t>2026-01-28 03:15:00</t>
  </si>
  <si>
    <t>TXN100229</t>
  </si>
  <si>
    <t>2026-01-17 02:25:00</t>
  </si>
  <si>
    <t>TXN100230</t>
  </si>
  <si>
    <t>2026-01-11 05:04:00</t>
  </si>
  <si>
    <t>TXN100231</t>
  </si>
  <si>
    <t>2026-01-17 06:57:00</t>
  </si>
  <si>
    <t>TXN100232</t>
  </si>
  <si>
    <t>2026-01-27 20:52:00</t>
  </si>
  <si>
    <t>TXN100233</t>
  </si>
  <si>
    <t>2026-01-05 08:12:00</t>
  </si>
  <si>
    <t>TXN100234</t>
  </si>
  <si>
    <t>2026-01-25 20:04:00</t>
  </si>
  <si>
    <t>TXN100235</t>
  </si>
  <si>
    <t>2026-01-25 18:48:00</t>
  </si>
  <si>
    <t>TXN100236</t>
  </si>
  <si>
    <t>2026-01-30 18:41:00</t>
  </si>
  <si>
    <t>TXN100237</t>
  </si>
  <si>
    <t>2026-01-28 20:20:00</t>
  </si>
  <si>
    <t>TXN100238</t>
  </si>
  <si>
    <t>2026-01-16 14:40:00</t>
  </si>
  <si>
    <t>TXN100239</t>
  </si>
  <si>
    <t>2026-01-02 11:32:00</t>
  </si>
  <si>
    <t>TXN100240</t>
  </si>
  <si>
    <t>2026-01-15 01:03:00</t>
  </si>
  <si>
    <t>TXN100241</t>
  </si>
  <si>
    <t>2026-01-21 02:39:00</t>
  </si>
  <si>
    <t>TXN100242</t>
  </si>
  <si>
    <t>2026-01-15 18:35:00</t>
  </si>
  <si>
    <t>TXN100243</t>
  </si>
  <si>
    <t>2026-01-21 06:20:00</t>
  </si>
  <si>
    <t>TXN100244</t>
  </si>
  <si>
    <t>2026-01-05 01:28:00</t>
  </si>
  <si>
    <t>TXN100245</t>
  </si>
  <si>
    <t>2026-01-03 16:41:00</t>
  </si>
  <si>
    <t>TXN100246</t>
  </si>
  <si>
    <t>2026-01-23 14:28:00</t>
  </si>
  <si>
    <t>TXN100247</t>
  </si>
  <si>
    <t>2026-01-06 11:23:00</t>
  </si>
  <si>
    <t>TXN100248</t>
  </si>
  <si>
    <t>2026-01-25 10:43:00</t>
  </si>
  <si>
    <t>TXN100249</t>
  </si>
  <si>
    <t>2026-01-21 10:04:00</t>
  </si>
  <si>
    <t>TXN100250</t>
  </si>
  <si>
    <t>2026-01-22 12:18:00</t>
  </si>
  <si>
    <t>TXN100251</t>
  </si>
  <si>
    <t>2026-01-11 02:37:00</t>
  </si>
  <si>
    <t>TXN100252</t>
  </si>
  <si>
    <t>2026-01-10 20:44:00</t>
  </si>
  <si>
    <t>TXN100253</t>
  </si>
  <si>
    <t>2026-01-20 22:05:00</t>
  </si>
  <si>
    <t>TXN100254</t>
  </si>
  <si>
    <t>2026-01-21 10:52:00</t>
  </si>
  <si>
    <t>TXN100255</t>
  </si>
  <si>
    <t>2026-01-21 21:27:00</t>
  </si>
  <si>
    <t>TXN100256</t>
  </si>
  <si>
    <t>2026-01-12 09:11:00</t>
  </si>
  <si>
    <t>TXN100257</t>
  </si>
  <si>
    <t>2026-01-16 06:14:00</t>
  </si>
  <si>
    <t>TXN100258</t>
  </si>
  <si>
    <t>2026-01-10 03:32:00</t>
  </si>
  <si>
    <t>TXN100259</t>
  </si>
  <si>
    <t>2026-01-22 10:56:00</t>
  </si>
  <si>
    <t>TXN100260</t>
  </si>
  <si>
    <t>2026-01-13 04:10:00</t>
  </si>
  <si>
    <t>TXN100261</t>
  </si>
  <si>
    <t>2026-01-24 14:02:00</t>
  </si>
  <si>
    <t>TXN100262</t>
  </si>
  <si>
    <t>2026-01-24 07:28:00</t>
  </si>
  <si>
    <t>TXN100263</t>
  </si>
  <si>
    <t>2026-01-24 14:14:00</t>
  </si>
  <si>
    <t>TXN100264</t>
  </si>
  <si>
    <t>2026-01-26 15:57:00</t>
  </si>
  <si>
    <t>TXN100265</t>
  </si>
  <si>
    <t>2026-01-19 14:29:00</t>
  </si>
  <si>
    <t>TXN100266</t>
  </si>
  <si>
    <t>2026-01-17 13:10:00</t>
  </si>
  <si>
    <t>TXN100267</t>
  </si>
  <si>
    <t>2026-01-28 08:03:00</t>
  </si>
  <si>
    <t>TXN100268</t>
  </si>
  <si>
    <t>2026-01-18 03:45:00</t>
  </si>
  <si>
    <t>TXN100269</t>
  </si>
  <si>
    <t>2026-01-03 05:17:00</t>
  </si>
  <si>
    <t>TXN100270</t>
  </si>
  <si>
    <t>2026-01-27 13:05:00</t>
  </si>
  <si>
    <t>TXN100271</t>
  </si>
  <si>
    <t>2026-01-30 00:26:00</t>
  </si>
  <si>
    <t>TXN100272</t>
  </si>
  <si>
    <t>2026-01-12 07:24:00</t>
  </si>
  <si>
    <t>TXN100273</t>
  </si>
  <si>
    <t>2026-01-01 10:59:00</t>
  </si>
  <si>
    <t>TXN100274</t>
  </si>
  <si>
    <t>2026-01-05 01:18:00</t>
  </si>
  <si>
    <t>TXN100275</t>
  </si>
  <si>
    <t>2026-01-23 15:28:00</t>
  </si>
  <si>
    <t>TXN100276</t>
  </si>
  <si>
    <t>2026-01-01 08:13:00</t>
  </si>
  <si>
    <t>TXN100277</t>
  </si>
  <si>
    <t>2026-01-20 16:27:00</t>
  </si>
  <si>
    <t>TXN100278</t>
  </si>
  <si>
    <t>2026-01-10 03:03:00</t>
  </si>
  <si>
    <t>TXN100279</t>
  </si>
  <si>
    <t>2026-01-26 19:29:00</t>
  </si>
  <si>
    <t>TXN100280</t>
  </si>
  <si>
    <t>2026-01-20 17:01:00</t>
  </si>
  <si>
    <t>TXN100281</t>
  </si>
  <si>
    <t>2026-01-08 22:09:00</t>
  </si>
  <si>
    <t>TXN100282</t>
  </si>
  <si>
    <t>2026-01-20 11:15:00</t>
  </si>
  <si>
    <t>TXN100283</t>
  </si>
  <si>
    <t>2026-01-22 21:05:00</t>
  </si>
  <si>
    <t>TXN100284</t>
  </si>
  <si>
    <t>2026-01-17 17:32:00</t>
  </si>
  <si>
    <t>TXN100285</t>
  </si>
  <si>
    <t>2026-01-13 15:02:00</t>
  </si>
  <si>
    <t>TXN100286</t>
  </si>
  <si>
    <t>2026-01-09 23:01:00</t>
  </si>
  <si>
    <t>TXN100287</t>
  </si>
  <si>
    <t>2026-01-08 23:42:00</t>
  </si>
  <si>
    <t>TXN100288</t>
  </si>
  <si>
    <t>2026-01-19 23:48:00</t>
  </si>
  <si>
    <t>TXN100289</t>
  </si>
  <si>
    <t>2026-01-12 17:21:00</t>
  </si>
  <si>
    <t>TXN100290</t>
  </si>
  <si>
    <t>2026-01-22 14:44:00</t>
  </si>
  <si>
    <t>TXN100291</t>
  </si>
  <si>
    <t>2026-01-03 22:49:00</t>
  </si>
  <si>
    <t>TXN100292</t>
  </si>
  <si>
    <t>2026-01-07 01:50:00</t>
  </si>
  <si>
    <t>TXN100293</t>
  </si>
  <si>
    <t>2026-01-30 09:32:00</t>
  </si>
  <si>
    <t>TXN100294</t>
  </si>
  <si>
    <t>2026-01-09 01:48:00</t>
  </si>
  <si>
    <t>TXN100295</t>
  </si>
  <si>
    <t>2026-01-12 01:55:00</t>
  </si>
  <si>
    <t>TXN100296</t>
  </si>
  <si>
    <t>2026-01-04 11:27:00</t>
  </si>
  <si>
    <t>TXN100297</t>
  </si>
  <si>
    <t>2026-01-11 05:31:00</t>
  </si>
  <si>
    <t>TXN100298</t>
  </si>
  <si>
    <t>2026-01-09 02:46:00</t>
  </si>
  <si>
    <t>TXN100299</t>
  </si>
  <si>
    <t>2026-01-20 05:34:00</t>
  </si>
  <si>
    <t>TXN100300</t>
  </si>
  <si>
    <t>2026-01-03 10:42:00</t>
  </si>
  <si>
    <t>TXN100301</t>
  </si>
  <si>
    <t>2026-01-20 22:27:00</t>
  </si>
  <si>
    <t>TXN100302</t>
  </si>
  <si>
    <t>2026-01-15 01:46:00</t>
  </si>
  <si>
    <t>TXN100303</t>
  </si>
  <si>
    <t>2026-01-09 20:50:00</t>
  </si>
  <si>
    <t>TXN100304</t>
  </si>
  <si>
    <t>2026-01-21 12:23:00</t>
  </si>
  <si>
    <t>TXN100305</t>
  </si>
  <si>
    <t>2026-01-05 19:43:00</t>
  </si>
  <si>
    <t>TXN100306</t>
  </si>
  <si>
    <t>2026-01-03 07:49:00</t>
  </si>
  <si>
    <t>TXN100307</t>
  </si>
  <si>
    <t>2026-01-13 18:02:00</t>
  </si>
  <si>
    <t>TXN100308</t>
  </si>
  <si>
    <t>2026-01-15 11:23:00</t>
  </si>
  <si>
    <t>TXN100309</t>
  </si>
  <si>
    <t>2026-01-05 16:23:00</t>
  </si>
  <si>
    <t>TXN100310</t>
  </si>
  <si>
    <t>TXN100311</t>
  </si>
  <si>
    <t>2026-01-17 12:58:00</t>
  </si>
  <si>
    <t>TXN100312</t>
  </si>
  <si>
    <t>2026-01-25 08:45:00</t>
  </si>
  <si>
    <t>TXN100313</t>
  </si>
  <si>
    <t>2026-01-10 22:58:00</t>
  </si>
  <si>
    <t>TXN100314</t>
  </si>
  <si>
    <t>2026-01-05 02:28:00</t>
  </si>
  <si>
    <t>TXN100315</t>
  </si>
  <si>
    <t>2026-01-26 21:54:00</t>
  </si>
  <si>
    <t>TXN100316</t>
  </si>
  <si>
    <t>2026-01-03 17:34:00</t>
  </si>
  <si>
    <t>TXN100317</t>
  </si>
  <si>
    <t>2026-01-23 22:59:00</t>
  </si>
  <si>
    <t>TXN100318</t>
  </si>
  <si>
    <t>2026-01-17 07:07:00</t>
  </si>
  <si>
    <t>TXN100319</t>
  </si>
  <si>
    <t>2026-01-26 15:01:00</t>
  </si>
  <si>
    <t>TXN100320</t>
  </si>
  <si>
    <t>2026-01-12 14:51:00</t>
  </si>
  <si>
    <t>TXN100321</t>
  </si>
  <si>
    <t>2026-01-29 02:04:00</t>
  </si>
  <si>
    <t>TXN100322</t>
  </si>
  <si>
    <t>2026-01-24 15:33:00</t>
  </si>
  <si>
    <t>TXN100323</t>
  </si>
  <si>
    <t>2026-01-03 04:20:00</t>
  </si>
  <si>
    <t>TXN100324</t>
  </si>
  <si>
    <t>2026-01-15 21:33:00</t>
  </si>
  <si>
    <t>TXN100325</t>
  </si>
  <si>
    <t>2026-01-18 20:37:00</t>
  </si>
  <si>
    <t>TXN100326</t>
  </si>
  <si>
    <t>2026-01-17 01:53:00</t>
  </si>
  <si>
    <t>TXN100327</t>
  </si>
  <si>
    <t>2026-01-10 05:10:00</t>
  </si>
  <si>
    <t>TXN100328</t>
  </si>
  <si>
    <t>2026-01-17 09:54:00</t>
  </si>
  <si>
    <t>TXN100329</t>
  </si>
  <si>
    <t>2026-01-21 17:17:00</t>
  </si>
  <si>
    <t>TXN100330</t>
  </si>
  <si>
    <t>2026-01-18 02:32:00</t>
  </si>
  <si>
    <t>TXN100331</t>
  </si>
  <si>
    <t>2026-01-19 04:10:00</t>
  </si>
  <si>
    <t>TXN100332</t>
  </si>
  <si>
    <t>2026-01-29 19:21:00</t>
  </si>
  <si>
    <t>TXN100333</t>
  </si>
  <si>
    <t>2026-01-03 01:41:00</t>
  </si>
  <si>
    <t>TXN100334</t>
  </si>
  <si>
    <t>2026-01-07 18:26:00</t>
  </si>
  <si>
    <t>TXN100335</t>
  </si>
  <si>
    <t>2026-01-29 20:34:00</t>
  </si>
  <si>
    <t>TXN100336</t>
  </si>
  <si>
    <t>2026-01-08 21:25:00</t>
  </si>
  <si>
    <t>TXN100337</t>
  </si>
  <si>
    <t>2026-01-23 01:10:00</t>
  </si>
  <si>
    <t>TXN100338</t>
  </si>
  <si>
    <t>2026-01-15 06:21:00</t>
  </si>
  <si>
    <t>TXN100339</t>
  </si>
  <si>
    <t>2026-01-28 22:20:00</t>
  </si>
  <si>
    <t>TXN100340</t>
  </si>
  <si>
    <t>2026-01-25 11:32:00</t>
  </si>
  <si>
    <t>TXN100341</t>
  </si>
  <si>
    <t>2026-01-08 14:07:00</t>
  </si>
  <si>
    <t>TXN100342</t>
  </si>
  <si>
    <t>2026-01-05 03:03:00</t>
  </si>
  <si>
    <t>TXN100343</t>
  </si>
  <si>
    <t>2026-01-14 07:55:00</t>
  </si>
  <si>
    <t>TXN100344</t>
  </si>
  <si>
    <t>2026-01-24 10:12:00</t>
  </si>
  <si>
    <t>TXN100345</t>
  </si>
  <si>
    <t>2026-01-15 15:56:00</t>
  </si>
  <si>
    <t>TXN100346</t>
  </si>
  <si>
    <t>2026-01-03 12:32:00</t>
  </si>
  <si>
    <t>TXN100347</t>
  </si>
  <si>
    <t>2026-01-19 11:03:00</t>
  </si>
  <si>
    <t>TXN100348</t>
  </si>
  <si>
    <t>2026-01-20 20:43:00</t>
  </si>
  <si>
    <t>TXN100349</t>
  </si>
  <si>
    <t>2026-01-01 03:27:00</t>
  </si>
  <si>
    <t>TXN100350</t>
  </si>
  <si>
    <t>2026-01-12 12:23:00</t>
  </si>
  <si>
    <t>TXN100351</t>
  </si>
  <si>
    <t>2026-01-19 17:12:00</t>
  </si>
  <si>
    <t>TXN100352</t>
  </si>
  <si>
    <t>TXN100353</t>
  </si>
  <si>
    <t>2026-01-27 19:43:00</t>
  </si>
  <si>
    <t>TXN100354</t>
  </si>
  <si>
    <t>2026-01-04 12:23:00</t>
  </si>
  <si>
    <t>TXN100355</t>
  </si>
  <si>
    <t>2026-01-25 04:12:00</t>
  </si>
  <si>
    <t>TXN100356</t>
  </si>
  <si>
    <t>2026-01-17 01:02:00</t>
  </si>
  <si>
    <t>TXN100357</t>
  </si>
  <si>
    <t>2026-01-11 15:33:00</t>
  </si>
  <si>
    <t>TXN100358</t>
  </si>
  <si>
    <t>2026-01-29 16:08:00</t>
  </si>
  <si>
    <t>TXN100359</t>
  </si>
  <si>
    <t>2026-01-06 12:39:00</t>
  </si>
  <si>
    <t>TXN100360</t>
  </si>
  <si>
    <t>2026-01-17 16:34:00</t>
  </si>
  <si>
    <t>TXN100361</t>
  </si>
  <si>
    <t>2026-01-16 00:23:00</t>
  </si>
  <si>
    <t>TXN100362</t>
  </si>
  <si>
    <t>2026-01-19 09:50:00</t>
  </si>
  <si>
    <t>TXN100363</t>
  </si>
  <si>
    <t>2026-01-16 08:41:00</t>
  </si>
  <si>
    <t>TXN100364</t>
  </si>
  <si>
    <t>2026-01-24 01:37:00</t>
  </si>
  <si>
    <t>TXN100365</t>
  </si>
  <si>
    <t>2026-01-21 23:39:00</t>
  </si>
  <si>
    <t>TXN100366</t>
  </si>
  <si>
    <t>2026-01-08 01:36:00</t>
  </si>
  <si>
    <t>TXN100367</t>
  </si>
  <si>
    <t>2026-01-15 10:26:00</t>
  </si>
  <si>
    <t>TXN100368</t>
  </si>
  <si>
    <t>2026-01-07 13:32:00</t>
  </si>
  <si>
    <t>TXN100369</t>
  </si>
  <si>
    <t>2026-01-24 01:45:00</t>
  </si>
  <si>
    <t>TXN100370</t>
  </si>
  <si>
    <t>2026-01-18 10:42:00</t>
  </si>
  <si>
    <t>TXN100371</t>
  </si>
  <si>
    <t>2026-01-11 05:29:00</t>
  </si>
  <si>
    <t>TXN100372</t>
  </si>
  <si>
    <t>2026-01-12 21:49:00</t>
  </si>
  <si>
    <t>TXN100373</t>
  </si>
  <si>
    <t>2026-01-16 06:15:00</t>
  </si>
  <si>
    <t>TXN100374</t>
  </si>
  <si>
    <t>2026-01-08 09:49:00</t>
  </si>
  <si>
    <t>TXN100375</t>
  </si>
  <si>
    <t>2026-01-23 15:20:00</t>
  </si>
  <si>
    <t>TXN100376</t>
  </si>
  <si>
    <t>2026-01-30 23:17:00</t>
  </si>
  <si>
    <t>TXN100377</t>
  </si>
  <si>
    <t>2026-01-22 17:24:00</t>
  </si>
  <si>
    <t>TXN100378</t>
  </si>
  <si>
    <t>2026-01-26 04:18:00</t>
  </si>
  <si>
    <t>TXN100379</t>
  </si>
  <si>
    <t>2026-01-03 11:59:00</t>
  </si>
  <si>
    <t>TXN100380</t>
  </si>
  <si>
    <t>2026-01-16 06:12:00</t>
  </si>
  <si>
    <t>TXN100381</t>
  </si>
  <si>
    <t>2026-01-23 08:08:00</t>
  </si>
  <si>
    <t>TXN100382</t>
  </si>
  <si>
    <t>2026-01-19 07:15:00</t>
  </si>
  <si>
    <t>TXN100383</t>
  </si>
  <si>
    <t>2026-01-21 07:03:00</t>
  </si>
  <si>
    <t>TXN100384</t>
  </si>
  <si>
    <t>2026-01-23 15:06:00</t>
  </si>
  <si>
    <t>TXN100385</t>
  </si>
  <si>
    <t>2026-01-18 05:26:00</t>
  </si>
  <si>
    <t>TXN100386</t>
  </si>
  <si>
    <t>2026-01-21 06:48:00</t>
  </si>
  <si>
    <t>TXN100387</t>
  </si>
  <si>
    <t>2026-01-21 01:58:00</t>
  </si>
  <si>
    <t>TXN100388</t>
  </si>
  <si>
    <t>2026-01-18 23:46:00</t>
  </si>
  <si>
    <t>TXN100389</t>
  </si>
  <si>
    <t>2026-01-29 05:59:00</t>
  </si>
  <si>
    <t>TXN100390</t>
  </si>
  <si>
    <t>2026-01-16 05:59:00</t>
  </si>
  <si>
    <t>TXN100391</t>
  </si>
  <si>
    <t>2026-01-10 18:38:00</t>
  </si>
  <si>
    <t>TXN100392</t>
  </si>
  <si>
    <t>2026-01-15 20:34:00</t>
  </si>
  <si>
    <t>TXN100393</t>
  </si>
  <si>
    <t>2026-01-28 16:29:00</t>
  </si>
  <si>
    <t>TXN100394</t>
  </si>
  <si>
    <t>2026-01-11 05:46:00</t>
  </si>
  <si>
    <t>TXN100395</t>
  </si>
  <si>
    <t>2026-01-06 00:47:00</t>
  </si>
  <si>
    <t>TXN100396</t>
  </si>
  <si>
    <t>2026-01-22 06:11:00</t>
  </si>
  <si>
    <t>TXN100397</t>
  </si>
  <si>
    <t>2026-01-17 10:05:00</t>
  </si>
  <si>
    <t>TXN100398</t>
  </si>
  <si>
    <t>2026-01-05 15:20:00</t>
  </si>
  <si>
    <t>TXN100399</t>
  </si>
  <si>
    <t>2026-01-13 07:28:00</t>
  </si>
  <si>
    <t>TXN100400</t>
  </si>
  <si>
    <t>2026-01-19 23:36:00</t>
  </si>
  <si>
    <t>TXN100401</t>
  </si>
  <si>
    <t>2026-01-12 22:15:00</t>
  </si>
  <si>
    <t>TXN100402</t>
  </si>
  <si>
    <t>2026-01-10 05:25:00</t>
  </si>
  <si>
    <t>TXN100403</t>
  </si>
  <si>
    <t>2026-01-04 20:58:00</t>
  </si>
  <si>
    <t>TXN100404</t>
  </si>
  <si>
    <t>2026-01-08 07:08:00</t>
  </si>
  <si>
    <t>TXN100405</t>
  </si>
  <si>
    <t>2026-01-24 19:23:00</t>
  </si>
  <si>
    <t>TXN100406</t>
  </si>
  <si>
    <t>2026-01-25 17:51:00</t>
  </si>
  <si>
    <t>TXN100407</t>
  </si>
  <si>
    <t>2026-01-08 21:48:00</t>
  </si>
  <si>
    <t>TXN100408</t>
  </si>
  <si>
    <t>2026-01-15 16:45:00</t>
  </si>
  <si>
    <t>TXN100409</t>
  </si>
  <si>
    <t>2026-01-04 01:53:00</t>
  </si>
  <si>
    <t>TXN100410</t>
  </si>
  <si>
    <t>2026-01-19 17:09:00</t>
  </si>
  <si>
    <t>TXN100411</t>
  </si>
  <si>
    <t>2026-01-15 03:43:00</t>
  </si>
  <si>
    <t>TXN100412</t>
  </si>
  <si>
    <t>2026-01-03 16:28:00</t>
  </si>
  <si>
    <t>TXN100413</t>
  </si>
  <si>
    <t>2026-01-17 13:29:00</t>
  </si>
  <si>
    <t>TXN100414</t>
  </si>
  <si>
    <t>2026-01-15 21:51:00</t>
  </si>
  <si>
    <t>TXN100415</t>
  </si>
  <si>
    <t>2026-01-09 00:47:00</t>
  </si>
  <si>
    <t>TXN100416</t>
  </si>
  <si>
    <t>2026-01-02 13:22:00</t>
  </si>
  <si>
    <t>TXN100417</t>
  </si>
  <si>
    <t>2026-01-30 02:59:00</t>
  </si>
  <si>
    <t>TXN100418</t>
  </si>
  <si>
    <t>2026-01-14 05:49:00</t>
  </si>
  <si>
    <t>TXN100419</t>
  </si>
  <si>
    <t>2026-01-29 12:28:00</t>
  </si>
  <si>
    <t>TXN100420</t>
  </si>
  <si>
    <t>2026-01-22 21:55:00</t>
  </si>
  <si>
    <t>TXN100421</t>
  </si>
  <si>
    <t>2026-01-28 11:07:00</t>
  </si>
  <si>
    <t>TXN100422</t>
  </si>
  <si>
    <t>2026-01-17 04:46:00</t>
  </si>
  <si>
    <t>TXN100423</t>
  </si>
  <si>
    <t>2026-01-01 09:29:00</t>
  </si>
  <si>
    <t>TXN100424</t>
  </si>
  <si>
    <t>2026-01-18 12:52:00</t>
  </si>
  <si>
    <t>TXN100425</t>
  </si>
  <si>
    <t>2026-01-12 04:17:00</t>
  </si>
  <si>
    <t>TXN100426</t>
  </si>
  <si>
    <t>2026-01-26 21:26:00</t>
  </si>
  <si>
    <t>TXN100427</t>
  </si>
  <si>
    <t>2026-01-07 02:06:00</t>
  </si>
  <si>
    <t>TXN100428</t>
  </si>
  <si>
    <t>2026-01-20 21:45:00</t>
  </si>
  <si>
    <t>TXN100429</t>
  </si>
  <si>
    <t>2026-01-02 12:28:00</t>
  </si>
  <si>
    <t>TXN100430</t>
  </si>
  <si>
    <t>2026-01-25 01:08:00</t>
  </si>
  <si>
    <t>TXN100431</t>
  </si>
  <si>
    <t>2026-01-27 23:36:00</t>
  </si>
  <si>
    <t>TXN100432</t>
  </si>
  <si>
    <t>2026-01-25 21:52:00</t>
  </si>
  <si>
    <t>TXN100433</t>
  </si>
  <si>
    <t>2026-01-29 04:42:00</t>
  </si>
  <si>
    <t>TXN100434</t>
  </si>
  <si>
    <t>2026-01-10 08:03:00</t>
  </si>
  <si>
    <t>TXN100435</t>
  </si>
  <si>
    <t>2026-01-30 05:40:00</t>
  </si>
  <si>
    <t>TXN100436</t>
  </si>
  <si>
    <t>2026-01-16 01:22:00</t>
  </si>
  <si>
    <t>TXN100437</t>
  </si>
  <si>
    <t>2026-01-17 10:44:00</t>
  </si>
  <si>
    <t>TXN100438</t>
  </si>
  <si>
    <t>2026-01-10 12:11:00</t>
  </si>
  <si>
    <t>TXN100439</t>
  </si>
  <si>
    <t>2026-01-28 07:19:00</t>
  </si>
  <si>
    <t>TXN100440</t>
  </si>
  <si>
    <t>2026-01-18 13:26:00</t>
  </si>
  <si>
    <t>TXN100441</t>
  </si>
  <si>
    <t>2026-01-13 07:16:00</t>
  </si>
  <si>
    <t>TXN100442</t>
  </si>
  <si>
    <t>2026-01-03 14:54:00</t>
  </si>
  <si>
    <t>TXN100443</t>
  </si>
  <si>
    <t>2026-01-24 06:03:00</t>
  </si>
  <si>
    <t>TXN100444</t>
  </si>
  <si>
    <t>2026-01-20 19:02:00</t>
  </si>
  <si>
    <t>TXN100445</t>
  </si>
  <si>
    <t>2026-01-19 23:42:00</t>
  </si>
  <si>
    <t>TXN100446</t>
  </si>
  <si>
    <t>2026-01-07 10:19:00</t>
  </si>
  <si>
    <t>TXN100447</t>
  </si>
  <si>
    <t>2026-01-24 03:47:00</t>
  </si>
  <si>
    <t>TXN100448</t>
  </si>
  <si>
    <t>2026-01-20 22:13:00</t>
  </si>
  <si>
    <t>TXN100449</t>
  </si>
  <si>
    <t>2026-01-11 09:24:00</t>
  </si>
  <si>
    <t>TXN100450</t>
  </si>
  <si>
    <t>2026-01-12 09:16:00</t>
  </si>
  <si>
    <t>TXN100451</t>
  </si>
  <si>
    <t>2026-01-15 03:51:00</t>
  </si>
  <si>
    <t>TXN100452</t>
  </si>
  <si>
    <t>2026-01-12 10:26:00</t>
  </si>
  <si>
    <t>TXN100453</t>
  </si>
  <si>
    <t>2026-01-24 04:01:00</t>
  </si>
  <si>
    <t>TXN100454</t>
  </si>
  <si>
    <t>2026-01-19 23:26:00</t>
  </si>
  <si>
    <t>TXN100455</t>
  </si>
  <si>
    <t>2026-01-11 07:24:00</t>
  </si>
  <si>
    <t>TXN100456</t>
  </si>
  <si>
    <t>2026-01-18 20:43:00</t>
  </si>
  <si>
    <t>TXN100457</t>
  </si>
  <si>
    <t>2026-01-27 15:46:00</t>
  </si>
  <si>
    <t>TXN100458</t>
  </si>
  <si>
    <t>2026-01-06 23:50:00</t>
  </si>
  <si>
    <t>TXN100459</t>
  </si>
  <si>
    <t>2026-01-24 17:31:00</t>
  </si>
  <si>
    <t>TXN100460</t>
  </si>
  <si>
    <t>2026-01-02 16:02:00</t>
  </si>
  <si>
    <t>TXN100461</t>
  </si>
  <si>
    <t>2026-01-01 13:08:00</t>
  </si>
  <si>
    <t>TXN100462</t>
  </si>
  <si>
    <t>2026-01-23 04:00:00</t>
  </si>
  <si>
    <t>TXN100463</t>
  </si>
  <si>
    <t>2026-01-12 01:39:00</t>
  </si>
  <si>
    <t>TXN100464</t>
  </si>
  <si>
    <t>2026-01-22 15:01:00</t>
  </si>
  <si>
    <t>TXN100465</t>
  </si>
  <si>
    <t>2026-01-14 00:01:00</t>
  </si>
  <si>
    <t>TXN100466</t>
  </si>
  <si>
    <t>2026-01-10 00:32:00</t>
  </si>
  <si>
    <t>TXN100467</t>
  </si>
  <si>
    <t>2026-01-04 03:33:00</t>
  </si>
  <si>
    <t>TXN100468</t>
  </si>
  <si>
    <t>2026-01-20 16:16:00</t>
  </si>
  <si>
    <t>TXN100469</t>
  </si>
  <si>
    <t>2026-01-03 11:25:00</t>
  </si>
  <si>
    <t>TXN100470</t>
  </si>
  <si>
    <t>TXN100471</t>
  </si>
  <si>
    <t>2026-01-13 12:24:00</t>
  </si>
  <si>
    <t>TXN100472</t>
  </si>
  <si>
    <t>2026-01-21 00:44:00</t>
  </si>
  <si>
    <t>TXN100473</t>
  </si>
  <si>
    <t>2026-01-28 13:41:00</t>
  </si>
  <si>
    <t>TXN100474</t>
  </si>
  <si>
    <t>2026-01-29 16:58:00</t>
  </si>
  <si>
    <t>TXN100475</t>
  </si>
  <si>
    <t>2026-01-29 22:56:00</t>
  </si>
  <si>
    <t>TXN100476</t>
  </si>
  <si>
    <t>2026-01-02 02:43:00</t>
  </si>
  <si>
    <t>TXN100477</t>
  </si>
  <si>
    <t>2026-01-22 01:11:00</t>
  </si>
  <si>
    <t>TXN100478</t>
  </si>
  <si>
    <t>2026-01-19 04:48:00</t>
  </si>
  <si>
    <t>TXN100479</t>
  </si>
  <si>
    <t>2026-01-06 18:15:00</t>
  </si>
  <si>
    <t>TXN100480</t>
  </si>
  <si>
    <t>2026-01-29 17:21:00</t>
  </si>
  <si>
    <t>TXN100481</t>
  </si>
  <si>
    <t>2026-01-24 02:32:00</t>
  </si>
  <si>
    <t>TXN100482</t>
  </si>
  <si>
    <t>2026-01-14 07:53:00</t>
  </si>
  <si>
    <t>TXN100483</t>
  </si>
  <si>
    <t>2026-01-25 19:38:00</t>
  </si>
  <si>
    <t>TXN100484</t>
  </si>
  <si>
    <t>2026-01-21 08:50:00</t>
  </si>
  <si>
    <t>TXN100485</t>
  </si>
  <si>
    <t>2026-01-12 17:24:00</t>
  </si>
  <si>
    <t>TXN100486</t>
  </si>
  <si>
    <t>2026-01-19 21:24:00</t>
  </si>
  <si>
    <t>TXN100487</t>
  </si>
  <si>
    <t>2026-01-26 07:45:00</t>
  </si>
  <si>
    <t>TXN100488</t>
  </si>
  <si>
    <t>2026-01-05 12:45:00</t>
  </si>
  <si>
    <t>TXN100489</t>
  </si>
  <si>
    <t>2026-01-13 10:23:00</t>
  </si>
  <si>
    <t>TXN100490</t>
  </si>
  <si>
    <t>2026-01-10 14:23:00</t>
  </si>
  <si>
    <t>TXN100491</t>
  </si>
  <si>
    <t>2026-01-03 05:27:00</t>
  </si>
  <si>
    <t>TXN100492</t>
  </si>
  <si>
    <t>2026-01-17 13:06:00</t>
  </si>
  <si>
    <t>TXN100493</t>
  </si>
  <si>
    <t>2026-01-18 02:38:00</t>
  </si>
  <si>
    <t>TXN100494</t>
  </si>
  <si>
    <t>2026-01-01 09:26:00</t>
  </si>
  <si>
    <t>TXN100495</t>
  </si>
  <si>
    <t>2026-01-29 17:57:00</t>
  </si>
  <si>
    <t>TXN100496</t>
  </si>
  <si>
    <t>2026-01-06 21:24:00</t>
  </si>
  <si>
    <t>TXN100497</t>
  </si>
  <si>
    <t>2026-01-10 08:31:00</t>
  </si>
  <si>
    <t>TXN100498</t>
  </si>
  <si>
    <t>2026-01-14 08:26:00</t>
  </si>
  <si>
    <t>TXN100499</t>
  </si>
  <si>
    <t>2026-01-03 11:16:00</t>
  </si>
  <si>
    <t>TXN200000</t>
  </si>
  <si>
    <t>2026-01-30 06:00:00</t>
  </si>
  <si>
    <t>TXN200001</t>
  </si>
  <si>
    <t>2026-01-11 12:00:00</t>
  </si>
  <si>
    <t>TXN200002</t>
  </si>
  <si>
    <t>2026-01-21 14:00:00</t>
  </si>
  <si>
    <t>TXN200003</t>
  </si>
  <si>
    <t>2026-01-21 19:00:00</t>
  </si>
  <si>
    <t>TXN200004</t>
  </si>
  <si>
    <t>2026-01-16 12:00:00</t>
  </si>
  <si>
    <t>TXN200005</t>
  </si>
  <si>
    <t>2026-01-29 07:00:00</t>
  </si>
  <si>
    <t>TXN200006</t>
  </si>
  <si>
    <t>2026-01-23 11:00:00</t>
  </si>
  <si>
    <t>TXN200007</t>
  </si>
  <si>
    <t>2026-01-28 05:00:00</t>
  </si>
  <si>
    <t>TXN200008</t>
  </si>
  <si>
    <t>2026-01-25 22:00:00</t>
  </si>
  <si>
    <t>TXN200009</t>
  </si>
  <si>
    <t>2026-01-13 13:00:00</t>
  </si>
  <si>
    <t>TXN200010</t>
  </si>
  <si>
    <t>2026-01-20 07:00:00</t>
  </si>
  <si>
    <t>TXN200011</t>
  </si>
  <si>
    <t>2026-01-23 02:00:00</t>
  </si>
  <si>
    <t>TXN200012</t>
  </si>
  <si>
    <t>2026-01-23 17:00:00</t>
  </si>
  <si>
    <t>TXN200013</t>
  </si>
  <si>
    <t>2026-01-22 22:00:00</t>
  </si>
  <si>
    <t>TXN200014</t>
  </si>
  <si>
    <t>2026-01-18 21:00:00</t>
  </si>
  <si>
    <t>TXN300000</t>
  </si>
  <si>
    <t>2026-01-02 18:00:00</t>
  </si>
  <si>
    <t>TXN300001</t>
  </si>
  <si>
    <t>2026-01-02 18:01:00</t>
  </si>
  <si>
    <t>TXN300002</t>
  </si>
  <si>
    <t>2026-01-02 18:02:00</t>
  </si>
  <si>
    <t>TXN300003</t>
  </si>
  <si>
    <t>2026-01-02 18:03:00</t>
  </si>
  <si>
    <t>TXN300004</t>
  </si>
  <si>
    <t>2026-01-12 12:00:00</t>
  </si>
  <si>
    <t>TXN300005</t>
  </si>
  <si>
    <t>2026-01-12 12:01:00</t>
  </si>
  <si>
    <t>TXN300006</t>
  </si>
  <si>
    <t>2026-01-12 12:02:00</t>
  </si>
  <si>
    <t>TXN300007</t>
  </si>
  <si>
    <t>2026-01-12 12:03:00</t>
  </si>
  <si>
    <t>TXN300008</t>
  </si>
  <si>
    <t>2026-01-12 09:00:00</t>
  </si>
  <si>
    <t>TXN300009</t>
  </si>
  <si>
    <t>2026-01-12 09:01:00</t>
  </si>
  <si>
    <t>TXN300010</t>
  </si>
  <si>
    <t>2026-01-12 09:02:00</t>
  </si>
  <si>
    <t>TXN300011</t>
  </si>
  <si>
    <t>2026-01-12 09:03:00</t>
  </si>
  <si>
    <t>TXN300012</t>
  </si>
  <si>
    <t>2026-01-02 22:00:00</t>
  </si>
  <si>
    <t>TXN300013</t>
  </si>
  <si>
    <t>2026-01-02 22:01:00</t>
  </si>
  <si>
    <t>TXN300014</t>
  </si>
  <si>
    <t>2026-01-02 22:02:00</t>
  </si>
  <si>
    <t>TXN300015</t>
  </si>
  <si>
    <t>2026-01-02 22:03:00</t>
  </si>
  <si>
    <t>TXN300016</t>
  </si>
  <si>
    <t>2026-01-14 14:00:00</t>
  </si>
  <si>
    <t>TXN300017</t>
  </si>
  <si>
    <t>2026-01-14 14:01:00</t>
  </si>
  <si>
    <t>TXN300018</t>
  </si>
  <si>
    <t>2026-01-14 14:02:00</t>
  </si>
  <si>
    <t>TXN300019</t>
  </si>
  <si>
    <t>2026-01-14 14:03:00</t>
  </si>
  <si>
    <t>TXN300020</t>
  </si>
  <si>
    <t>2026-01-01 22:00:00</t>
  </si>
  <si>
    <t>TXN300021</t>
  </si>
  <si>
    <t>2026-01-01 22:01:00</t>
  </si>
  <si>
    <t>TXN300022</t>
  </si>
  <si>
    <t>2026-01-01 22:02:00</t>
  </si>
  <si>
    <t>TXN300023</t>
  </si>
  <si>
    <t>2026-01-01 22:03:00</t>
  </si>
  <si>
    <t>TXN300024</t>
  </si>
  <si>
    <t>2026-01-09 21:00:00</t>
  </si>
  <si>
    <t>TXN300025</t>
  </si>
  <si>
    <t>2026-01-09 21:01:00</t>
  </si>
  <si>
    <t>TXN300026</t>
  </si>
  <si>
    <t>2026-01-09 21:02:00</t>
  </si>
  <si>
    <t>TXN300027</t>
  </si>
  <si>
    <t>2026-01-09 21:03:00</t>
  </si>
  <si>
    <t>TXN300028</t>
  </si>
  <si>
    <t>2026-01-23 09:00:00</t>
  </si>
  <si>
    <t>TXN300029</t>
  </si>
  <si>
    <t>2026-01-23 09:01:00</t>
  </si>
  <si>
    <t>TXN300030</t>
  </si>
  <si>
    <t>2026-01-23 09:02:00</t>
  </si>
  <si>
    <t>TXN300031</t>
  </si>
  <si>
    <t>2026-01-23 09:03:00</t>
  </si>
  <si>
    <t>MDR Fee-Rate Reference Table (Horizontal Layout)</t>
  </si>
  <si>
    <t>Payment Method</t>
  </si>
  <si>
    <t>MDR Fee %</t>
  </si>
  <si>
    <t>HLOOKUP Demonstration</t>
  </si>
  <si>
    <t>Lookup Method</t>
  </si>
  <si>
    <t>HLOOKUP Formula</t>
  </si>
  <si>
    <t>Result</t>
  </si>
  <si>
    <t>Design decision: MDR rates are illustrative industry approximations. UPI 0.25% (RBI-capped for small merchants), Wallet 0.50%, Card 1.80% (average interchange), Netbanking 0.90% (bank surcharge). HLOOKUP uses row_index=2 to return the fee % from the second row of the table.</t>
  </si>
  <si>
    <t>Qualifying Merchant-Day Totals &amp; Classification (Top 10 Merchants)</t>
  </si>
  <si>
    <t>total_txn_count</t>
  </si>
  <si>
    <t>unique_days</t>
  </si>
  <si>
    <t>total_gmv_inr (INR)</t>
  </si>
  <si>
    <t>qualifying_days (daily &gt; 5000)</t>
  </si>
  <si>
    <t>max_daily_total (INR)</t>
  </si>
  <si>
    <t>Classification (IF rule)</t>
  </si>
  <si>
    <t>Standard</t>
  </si>
  <si>
    <t>High-Value Merchant Day</t>
  </si>
  <si>
    <t>Nested IF/AND Classification Rule: 'High-Value Merchant Day' when merchant's DAILY transaction total (sum of all txns for that merchant on that day) &gt; INR 5,000 AND region != 'East'. 'qualifying_days' counts how many calendar days exceeded this threshold. 'max_daily_total' shows the highest single-day total for the merchant.</t>
  </si>
  <si>
    <t>Pivot Table: Total Amount &amp; Count by Merchant x Status</t>
  </si>
  <si>
    <t>Row Labels</t>
  </si>
  <si>
    <t>Grand Total</t>
  </si>
  <si>
    <t>Column Labels</t>
  </si>
  <si>
    <t>Total Amount (INR)</t>
  </si>
  <si>
    <t>Total Total Amount (INR)</t>
  </si>
  <si>
    <t>Total Txn Count</t>
  </si>
  <si>
    <t>Txn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</si>
</sst>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1E293B"/>
      <name val="Calibri"/>
    </font>
    <font>
      <i/>
      <sz val="8"/>
      <color rgb="FF64748B"/>
      <name val="Calibri"/>
    </font>
    <font>
      <b/>
      <sz val="11"/>
      <color rgb="FFFFFFFF"/>
      <name val="Calibri"/>
    </font>
    <font>
      <b/>
      <sz val="10"/>
      <color rgb="FF92400E"/>
      <name val="Calibri"/>
    </font>
    <font>
      <i/>
      <sz val="9"/>
      <color rgb="FF92400E"/>
      <name val="Calibri"/>
    </font>
    <font>
      <b/>
      <sz val="10"/>
      <color rgb="FF166534"/>
      <name val="Calibri"/>
    </font>
    <font>
      <b/>
      <sz val="9"/>
      <color rgb="FF166534"/>
      <name val="Calibri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D97706"/>
      </patternFill>
    </fill>
    <fill>
      <patternFill patternType="solid">
        <fgColor rgb="FFEFF6FF"/>
      </patternFill>
    </fill>
    <fill>
      <patternFill patternType="solid">
        <fgColor rgb="FFFEF3C7"/>
      </patternFill>
    </fill>
    <fill>
      <patternFill patternType="solid">
        <fgColor rgb="FFF0F9FF"/>
      </patternFill>
    </fill>
    <fill>
      <patternFill patternType="solid">
        <fgColor rgb="FFFFFBEB"/>
      </patternFill>
    </fill>
    <fill>
      <patternFill patternType="solid">
        <fgColor rgb="FFFFF7ED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10" fontId="7" fillId="13" borderId="1" xfId="0" applyNumberFormat="1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/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66.829997337962" createdVersion="8" refreshedVersion="8" minRefreshableVersion="3" recordCount="547" xr:uid="{61B395EC-C25D-4456-AD8F-87810FF16B52}">
  <cacheSource type="worksheet">
    <worksheetSource ref="A1:H548" sheet="Transactions"/>
  </cacheSource>
  <cacheFields count="8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0">
      <sharedItems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s v="2026-01-29 11:13:00"/>
    <n v="2999"/>
    <s v="Wallet"/>
    <x v="0"/>
    <n v="85"/>
  </r>
  <r>
    <s v="TXN100001"/>
    <n v="287"/>
    <x v="1"/>
    <s v="2026-01-04 11:49:00"/>
    <n v="49"/>
    <s v="UPI"/>
    <x v="0"/>
    <n v="79"/>
  </r>
  <r>
    <s v="TXN100002"/>
    <n v="122"/>
    <x v="2"/>
    <s v="2026-01-24 04:59:00"/>
    <n v="1499"/>
    <s v="Wallet"/>
    <x v="0"/>
    <n v="22"/>
  </r>
  <r>
    <s v="TXN100003"/>
    <n v="92"/>
    <x v="3"/>
    <s v="2026-01-29 13:01:00"/>
    <n v="49"/>
    <s v="Netbanking"/>
    <x v="0"/>
    <n v="100"/>
  </r>
  <r>
    <s v="TXN100004"/>
    <n v="343"/>
    <x v="0"/>
    <s v="2026-01-30 13:51:00"/>
    <n v="99"/>
    <s v="UPI"/>
    <x v="0"/>
    <n v="34"/>
  </r>
  <r>
    <s v="TXN100005"/>
    <n v="196"/>
    <x v="4"/>
    <s v="2026-01-06 22:06:00"/>
    <n v="99"/>
    <s v="UPI"/>
    <x v="0"/>
    <n v="60"/>
  </r>
  <r>
    <s v="TXN100006"/>
    <n v="236"/>
    <x v="5"/>
    <s v="2026-01-08 06:52:00"/>
    <n v="99"/>
    <s v="Wallet"/>
    <x v="0"/>
    <n v="39"/>
  </r>
  <r>
    <s v="TXN100007"/>
    <n v="13"/>
    <x v="6"/>
    <s v="2026-01-27 07:14:00"/>
    <n v="99"/>
    <s v="UPI"/>
    <x v="0"/>
    <n v="51"/>
  </r>
  <r>
    <s v="TXN100008"/>
    <n v="36"/>
    <x v="7"/>
    <s v="2026-01-11 08:55:00"/>
    <n v="799"/>
    <s v="UPI"/>
    <x v="0"/>
    <n v="44"/>
  </r>
  <r>
    <s v="TXN100009"/>
    <n v="348"/>
    <x v="8"/>
    <s v="2026-01-21 16:25:00"/>
    <n v="299"/>
    <s v="UPI"/>
    <x v="0"/>
    <n v="42"/>
  </r>
  <r>
    <s v="TXN100010"/>
    <n v="134"/>
    <x v="9"/>
    <s v="2026-01-01 03:56:00"/>
    <n v="49"/>
    <s v="UPI"/>
    <x v="0"/>
    <n v="74"/>
  </r>
  <r>
    <s v="TXN100011"/>
    <n v="306"/>
    <x v="10"/>
    <s v="2026-01-09 01:06:00"/>
    <n v="2999"/>
    <s v="Card"/>
    <x v="1"/>
    <n v="44"/>
  </r>
  <r>
    <s v="TXN100012"/>
    <n v="311"/>
    <x v="11"/>
    <s v="2026-01-24 10:27:00"/>
    <n v="49"/>
    <s v="Wallet"/>
    <x v="0"/>
    <n v="14"/>
  </r>
  <r>
    <s v="TXN100013"/>
    <n v="131"/>
    <x v="4"/>
    <s v="2026-01-13 18:12:00"/>
    <n v="49"/>
    <s v="UPI"/>
    <x v="0"/>
    <n v="90"/>
  </r>
  <r>
    <s v="TXN100014"/>
    <n v="276"/>
    <x v="6"/>
    <s v="2026-01-14 00:33:00"/>
    <n v="1499"/>
    <s v="UPI"/>
    <x v="0"/>
    <n v="46"/>
  </r>
  <r>
    <s v="TXN100015"/>
    <n v="170"/>
    <x v="12"/>
    <s v="2026-01-14 02:42:00"/>
    <n v="99"/>
    <s v="UPI"/>
    <x v="0"/>
    <n v="40"/>
  </r>
  <r>
    <s v="TXN100016"/>
    <n v="154"/>
    <x v="11"/>
    <s v="2026-01-22 03:46:00"/>
    <n v="99"/>
    <s v="Netbanking"/>
    <x v="0"/>
    <n v="39"/>
  </r>
  <r>
    <s v="TXN100017"/>
    <n v="207"/>
    <x v="13"/>
    <s v="2026-01-22 13:20:00"/>
    <n v="2999"/>
    <s v="Card"/>
    <x v="0"/>
    <n v="70"/>
  </r>
  <r>
    <s v="TXN100018"/>
    <n v="341"/>
    <x v="14"/>
    <s v="2026-01-05 06:26:00"/>
    <n v="2999"/>
    <s v="UPI"/>
    <x v="0"/>
    <n v="86"/>
  </r>
  <r>
    <s v="TXN100019"/>
    <n v="292"/>
    <x v="15"/>
    <s v="2026-01-24 05:39:00"/>
    <n v="49"/>
    <s v="UPI"/>
    <x v="0"/>
    <n v="51"/>
  </r>
  <r>
    <s v="TXN100020"/>
    <n v="147"/>
    <x v="16"/>
    <s v="2026-01-18 00:19:00"/>
    <n v="99"/>
    <s v="Card"/>
    <x v="0"/>
    <n v="55"/>
  </r>
  <r>
    <s v="TXN100021"/>
    <n v="336"/>
    <x v="17"/>
    <s v="2026-01-26 18:38:00"/>
    <n v="99"/>
    <s v="UPI"/>
    <x v="0"/>
    <n v="59"/>
  </r>
  <r>
    <s v="TXN100022"/>
    <n v="110"/>
    <x v="11"/>
    <s v="2026-01-15 14:43:00"/>
    <n v="799"/>
    <s v="UPI"/>
    <x v="0"/>
    <n v="60"/>
  </r>
  <r>
    <s v="TXN100023"/>
    <n v="338"/>
    <x v="18"/>
    <s v="2026-01-26 23:10:00"/>
    <n v="799"/>
    <s v="UPI"/>
    <x v="2"/>
    <n v="36"/>
  </r>
  <r>
    <s v="TXN100024"/>
    <n v="318"/>
    <x v="3"/>
    <s v="2026-01-17 21:40:00"/>
    <n v="799"/>
    <s v="Wallet"/>
    <x v="0"/>
    <n v="11"/>
  </r>
  <r>
    <s v="TXN100025"/>
    <n v="159"/>
    <x v="19"/>
    <s v="2026-01-27 07:43:00"/>
    <n v="799"/>
    <s v="UPI"/>
    <x v="0"/>
    <n v="25"/>
  </r>
  <r>
    <s v="TXN100026"/>
    <n v="126"/>
    <x v="20"/>
    <s v="2026-01-05 00:02:00"/>
    <n v="49"/>
    <s v="Card"/>
    <x v="0"/>
    <n v="78"/>
  </r>
  <r>
    <s v="TXN100027"/>
    <n v="213"/>
    <x v="21"/>
    <s v="2026-01-28 02:29:00"/>
    <n v="99"/>
    <s v="UPI"/>
    <x v="0"/>
    <n v="24"/>
  </r>
  <r>
    <s v="TXN100028"/>
    <n v="254"/>
    <x v="22"/>
    <s v="2026-01-23 22:24:00"/>
    <n v="99"/>
    <s v="Wallet"/>
    <x v="0"/>
    <n v="31"/>
  </r>
  <r>
    <s v="TXN100029"/>
    <n v="3"/>
    <x v="23"/>
    <s v="2026-01-05 20:44:00"/>
    <n v="1499"/>
    <s v="UPI"/>
    <x v="0"/>
    <n v="99"/>
  </r>
  <r>
    <s v="TXN100030"/>
    <n v="266"/>
    <x v="24"/>
    <s v="2026-01-14 07:11:00"/>
    <n v="499"/>
    <s v="Card"/>
    <x v="0"/>
    <n v="6"/>
  </r>
  <r>
    <s v="TXN100031"/>
    <n v="63"/>
    <x v="24"/>
    <s v="2026-01-18 07:58:00"/>
    <n v="799"/>
    <s v="UPI"/>
    <x v="0"/>
    <n v="17"/>
  </r>
  <r>
    <s v="TXN100032"/>
    <n v="272"/>
    <x v="25"/>
    <s v="2026-01-26 14:42:00"/>
    <n v="149"/>
    <s v="UPI"/>
    <x v="0"/>
    <n v="76"/>
  </r>
  <r>
    <s v="TXN100033"/>
    <n v="259"/>
    <x v="10"/>
    <s v="2026-01-11 14:39:00"/>
    <n v="49"/>
    <s v="Wallet"/>
    <x v="0"/>
    <n v="70"/>
  </r>
  <r>
    <s v="TXN100034"/>
    <n v="244"/>
    <x v="26"/>
    <s v="2026-01-15 05:47:00"/>
    <n v="299"/>
    <s v="Netbanking"/>
    <x v="0"/>
    <n v="33"/>
  </r>
  <r>
    <s v="TXN100035"/>
    <n v="327"/>
    <x v="7"/>
    <s v="2026-01-25 07:53:00"/>
    <n v="149"/>
    <s v="Card"/>
    <x v="0"/>
    <n v="98"/>
  </r>
  <r>
    <s v="TXN100036"/>
    <n v="321"/>
    <x v="0"/>
    <s v="2026-01-25 16:31:00"/>
    <n v="49"/>
    <s v="UPI"/>
    <x v="0"/>
    <n v="35"/>
  </r>
  <r>
    <s v="TXN100037"/>
    <n v="147"/>
    <x v="0"/>
    <s v="2026-01-15 02:45:00"/>
    <n v="2999"/>
    <s v="Card"/>
    <x v="0"/>
    <n v="34"/>
  </r>
  <r>
    <s v="TXN100038"/>
    <n v="277"/>
    <x v="18"/>
    <s v="2026-01-11 10:57:00"/>
    <n v="1499"/>
    <s v="Card"/>
    <x v="0"/>
    <n v="17"/>
  </r>
  <r>
    <s v="TXN100039"/>
    <n v="79"/>
    <x v="16"/>
    <s v="2026-01-05 07:24:00"/>
    <n v="1499"/>
    <s v="UPI"/>
    <x v="0"/>
    <n v="8"/>
  </r>
  <r>
    <s v="TXN100040"/>
    <n v="278"/>
    <x v="24"/>
    <s v="2026-01-14 13:21:00"/>
    <n v="1499"/>
    <s v="UPI"/>
    <x v="0"/>
    <n v="53"/>
  </r>
  <r>
    <s v="TXN100041"/>
    <n v="216"/>
    <x v="14"/>
    <s v="2026-01-02 06:53:00"/>
    <n v="99"/>
    <s v="UPI"/>
    <x v="0"/>
    <n v="98"/>
  </r>
  <r>
    <s v="TXN100042"/>
    <n v="295"/>
    <x v="14"/>
    <s v="2026-01-19 22:01:00"/>
    <n v="1499"/>
    <s v="UPI"/>
    <x v="0"/>
    <n v="61"/>
  </r>
  <r>
    <s v="TXN100043"/>
    <n v="200"/>
    <x v="1"/>
    <s v="2026-01-01 11:19:00"/>
    <n v="149"/>
    <s v="UPI"/>
    <x v="0"/>
    <n v="68"/>
  </r>
  <r>
    <s v="TXN100044"/>
    <n v="309"/>
    <x v="19"/>
    <s v="2026-01-24 23:34:00"/>
    <n v="99"/>
    <s v="Netbanking"/>
    <x v="0"/>
    <n v="62"/>
  </r>
  <r>
    <s v="TXN100045"/>
    <n v="249"/>
    <x v="27"/>
    <s v="2026-01-08 08:27:00"/>
    <n v="299"/>
    <s v="Wallet"/>
    <x v="0"/>
    <n v="49"/>
  </r>
  <r>
    <s v="TXN100046"/>
    <n v="208"/>
    <x v="2"/>
    <s v="2026-01-11 21:43:00"/>
    <n v="4999"/>
    <s v="Netbanking"/>
    <x v="0"/>
    <n v="59"/>
  </r>
  <r>
    <s v="TXN100047"/>
    <n v="274"/>
    <x v="27"/>
    <s v="2026-01-30 04:39:00"/>
    <n v="299"/>
    <s v="UPI"/>
    <x v="0"/>
    <n v="50"/>
  </r>
  <r>
    <s v="TXN100048"/>
    <n v="14"/>
    <x v="18"/>
    <s v="2026-01-19 18:42:00"/>
    <n v="49"/>
    <s v="Wallet"/>
    <x v="0"/>
    <n v="82"/>
  </r>
  <r>
    <s v="TXN100049"/>
    <n v="237"/>
    <x v="9"/>
    <s v="2026-01-14 04:55:00"/>
    <n v="49"/>
    <s v="UPI"/>
    <x v="0"/>
    <n v="6"/>
  </r>
  <r>
    <s v="TXN100050"/>
    <n v="109"/>
    <x v="24"/>
    <s v="2026-01-09 12:20:00"/>
    <n v="99"/>
    <s v="UPI"/>
    <x v="0"/>
    <n v="41"/>
  </r>
  <r>
    <s v="TXN100051"/>
    <n v="216"/>
    <x v="28"/>
    <s v="2026-01-11 12:17:00"/>
    <n v="4999"/>
    <s v="UPI"/>
    <x v="0"/>
    <n v="10"/>
  </r>
  <r>
    <s v="TXN100052"/>
    <n v="277"/>
    <x v="29"/>
    <s v="2026-01-16 00:47:00"/>
    <n v="799"/>
    <s v="UPI"/>
    <x v="0"/>
    <n v="44"/>
  </r>
  <r>
    <s v="TXN100053"/>
    <n v="334"/>
    <x v="4"/>
    <s v="2026-01-08 20:04:00"/>
    <n v="149"/>
    <s v="Wallet"/>
    <x v="0"/>
    <n v="96"/>
  </r>
  <r>
    <s v="TXN100054"/>
    <n v="11"/>
    <x v="12"/>
    <s v="2026-01-01 07:12:00"/>
    <n v="299"/>
    <s v="UPI"/>
    <x v="0"/>
    <n v="19"/>
  </r>
  <r>
    <s v="TXN100055"/>
    <n v="343"/>
    <x v="30"/>
    <s v="2026-01-08 04:30:00"/>
    <n v="99"/>
    <s v="UPI"/>
    <x v="0"/>
    <n v="72"/>
  </r>
  <r>
    <s v="TXN100056"/>
    <n v="132"/>
    <x v="31"/>
    <s v="2026-01-07 14:44:00"/>
    <n v="299"/>
    <s v="Wallet"/>
    <x v="0"/>
    <n v="21"/>
  </r>
  <r>
    <s v="TXN100057"/>
    <n v="59"/>
    <x v="2"/>
    <s v="2026-01-20 19:47:00"/>
    <n v="299"/>
    <s v="UPI"/>
    <x v="0"/>
    <n v="39"/>
  </r>
  <r>
    <s v="TXN100058"/>
    <n v="160"/>
    <x v="21"/>
    <s v="2026-01-04 18:01:00"/>
    <n v="49"/>
    <s v="Wallet"/>
    <x v="0"/>
    <n v="86"/>
  </r>
  <r>
    <s v="TXN100059"/>
    <n v="102"/>
    <x v="32"/>
    <s v="2026-01-30 12:25:00"/>
    <n v="2999"/>
    <s v="UPI"/>
    <x v="0"/>
    <n v="75"/>
  </r>
  <r>
    <s v="TXN100060"/>
    <n v="53"/>
    <x v="15"/>
    <s v="2026-01-23 20:15:00"/>
    <n v="49"/>
    <s v="Netbanking"/>
    <x v="0"/>
    <n v="87"/>
  </r>
  <r>
    <s v="TXN100061"/>
    <n v="290"/>
    <x v="4"/>
    <s v="2026-01-20 03:50:00"/>
    <n v="99"/>
    <s v="Wallet"/>
    <x v="0"/>
    <n v="44"/>
  </r>
  <r>
    <s v="TXN100062"/>
    <n v="190"/>
    <x v="32"/>
    <s v="2026-01-18 13:42:00"/>
    <n v="299"/>
    <s v="UPI"/>
    <x v="0"/>
    <n v="64"/>
  </r>
  <r>
    <s v="TXN100063"/>
    <n v="216"/>
    <x v="33"/>
    <s v="2026-01-21 10:00:00"/>
    <n v="49"/>
    <s v="Card"/>
    <x v="0"/>
    <n v="13"/>
  </r>
  <r>
    <s v="TXN100064"/>
    <n v="236"/>
    <x v="34"/>
    <s v="2026-01-14 11:40:00"/>
    <n v="499"/>
    <s v="UPI"/>
    <x v="0"/>
    <n v="55"/>
  </r>
  <r>
    <s v="TXN100065"/>
    <n v="334"/>
    <x v="7"/>
    <s v="2026-01-06 23:33:00"/>
    <n v="499"/>
    <s v="Card"/>
    <x v="0"/>
    <n v="78"/>
  </r>
  <r>
    <s v="TXN100066"/>
    <n v="248"/>
    <x v="24"/>
    <s v="2026-01-26 17:49:00"/>
    <n v="799"/>
    <s v="Wallet"/>
    <x v="0"/>
    <n v="55"/>
  </r>
  <r>
    <s v="TXN100067"/>
    <n v="138"/>
    <x v="17"/>
    <s v="2026-01-27 23:37:00"/>
    <n v="49"/>
    <s v="Card"/>
    <x v="0"/>
    <n v="31"/>
  </r>
  <r>
    <s v="TXN100068"/>
    <n v="231"/>
    <x v="0"/>
    <s v="2026-01-27 02:17:00"/>
    <n v="49"/>
    <s v="UPI"/>
    <x v="0"/>
    <n v="96"/>
  </r>
  <r>
    <s v="TXN100069"/>
    <n v="343"/>
    <x v="14"/>
    <s v="2026-01-15 18:39:00"/>
    <n v="49"/>
    <s v="UPI"/>
    <x v="0"/>
    <n v="43"/>
  </r>
  <r>
    <s v="TXN100070"/>
    <n v="167"/>
    <x v="9"/>
    <s v="2026-01-01 15:54:00"/>
    <n v="499"/>
    <s v="Wallet"/>
    <x v="0"/>
    <n v="62"/>
  </r>
  <r>
    <s v="TXN100071"/>
    <n v="133"/>
    <x v="3"/>
    <s v="2026-01-07 11:51:00"/>
    <n v="499"/>
    <s v="UPI"/>
    <x v="0"/>
    <n v="35"/>
  </r>
  <r>
    <s v="TXN100072"/>
    <n v="142"/>
    <x v="25"/>
    <s v="2026-01-29 19:44:00"/>
    <n v="799"/>
    <s v="Wallet"/>
    <x v="0"/>
    <n v="1"/>
  </r>
  <r>
    <s v="TXN100073"/>
    <n v="124"/>
    <x v="1"/>
    <s v="2026-01-17 06:05:00"/>
    <n v="499"/>
    <s v="Wallet"/>
    <x v="0"/>
    <n v="62"/>
  </r>
  <r>
    <s v="TXN100074"/>
    <n v="244"/>
    <x v="33"/>
    <s v="2026-01-18 07:44:00"/>
    <n v="149"/>
    <s v="UPI"/>
    <x v="0"/>
    <n v="57"/>
  </r>
  <r>
    <s v="TXN100075"/>
    <n v="151"/>
    <x v="19"/>
    <s v="2026-01-26 00:05:00"/>
    <n v="4999"/>
    <s v="UPI"/>
    <x v="0"/>
    <n v="51"/>
  </r>
  <r>
    <s v="TXN100076"/>
    <n v="340"/>
    <x v="35"/>
    <s v="2026-01-23 07:19:00"/>
    <n v="499"/>
    <s v="Card"/>
    <x v="0"/>
    <n v="47"/>
  </r>
  <r>
    <s v="TXN100077"/>
    <n v="177"/>
    <x v="10"/>
    <s v="2026-01-16 17:33:00"/>
    <n v="299"/>
    <s v="UPI"/>
    <x v="0"/>
    <n v="95"/>
  </r>
  <r>
    <s v="TXN100078"/>
    <n v="233"/>
    <x v="7"/>
    <s v="2026-01-18 10:22:00"/>
    <n v="499"/>
    <s v="UPI"/>
    <x v="0"/>
    <n v="39"/>
  </r>
  <r>
    <s v="TXN100079"/>
    <n v="99"/>
    <x v="17"/>
    <s v="2026-01-09 07:07:00"/>
    <n v="499"/>
    <s v="UPI"/>
    <x v="0"/>
    <n v="15"/>
  </r>
  <r>
    <s v="TXN100080"/>
    <n v="95"/>
    <x v="6"/>
    <s v="2026-01-24 17:48:00"/>
    <n v="2999"/>
    <s v="Netbanking"/>
    <x v="1"/>
    <n v="27"/>
  </r>
  <r>
    <s v="TXN100081"/>
    <n v="302"/>
    <x v="36"/>
    <s v="2026-01-24 15:17:00"/>
    <n v="49"/>
    <s v="Netbanking"/>
    <x v="0"/>
    <n v="76"/>
  </r>
  <r>
    <s v="TXN100082"/>
    <n v="100"/>
    <x v="13"/>
    <s v="2026-01-10 03:53:00"/>
    <n v="2999"/>
    <s v="Netbanking"/>
    <x v="0"/>
    <n v="29"/>
  </r>
  <r>
    <s v="TXN100083"/>
    <n v="8"/>
    <x v="8"/>
    <s v="2026-01-12 05:19:00"/>
    <n v="99"/>
    <s v="UPI"/>
    <x v="0"/>
    <n v="16"/>
  </r>
  <r>
    <s v="TXN100084"/>
    <n v="284"/>
    <x v="13"/>
    <s v="2026-01-09 01:03:00"/>
    <n v="99"/>
    <s v="UPI"/>
    <x v="0"/>
    <n v="89"/>
  </r>
  <r>
    <s v="TXN100085"/>
    <n v="252"/>
    <x v="23"/>
    <s v="2026-01-05 20:55:00"/>
    <n v="2999"/>
    <s v="Wallet"/>
    <x v="0"/>
    <n v="1"/>
  </r>
  <r>
    <s v="TXN100086"/>
    <n v="246"/>
    <x v="26"/>
    <s v="2026-01-19 09:30:00"/>
    <n v="49"/>
    <s v="Wallet"/>
    <x v="0"/>
    <n v="43"/>
  </r>
  <r>
    <s v="TXN100087"/>
    <n v="245"/>
    <x v="30"/>
    <s v="2026-01-06 01:16:00"/>
    <n v="49"/>
    <s v="UPI"/>
    <x v="2"/>
    <n v="8"/>
  </r>
  <r>
    <s v="TXN100088"/>
    <n v="296"/>
    <x v="29"/>
    <s v="2026-01-13 15:04:00"/>
    <n v="799"/>
    <s v="Wallet"/>
    <x v="0"/>
    <n v="19"/>
  </r>
  <r>
    <s v="TXN100089"/>
    <n v="44"/>
    <x v="0"/>
    <s v="2026-01-05 18:19:00"/>
    <n v="149"/>
    <s v="UPI"/>
    <x v="0"/>
    <n v="15"/>
  </r>
  <r>
    <s v="TXN100090"/>
    <n v="306"/>
    <x v="12"/>
    <s v="2026-01-18 13:38:00"/>
    <n v="799"/>
    <s v="Card"/>
    <x v="0"/>
    <n v="28"/>
  </r>
  <r>
    <s v="TXN100091"/>
    <n v="231"/>
    <x v="26"/>
    <s v="2026-01-25 16:24:00"/>
    <n v="299"/>
    <s v="UPI"/>
    <x v="0"/>
    <n v="38"/>
  </r>
  <r>
    <s v="TXN100092"/>
    <n v="157"/>
    <x v="21"/>
    <s v="2026-01-28 18:27:00"/>
    <n v="499"/>
    <s v="Wallet"/>
    <x v="0"/>
    <n v="79"/>
  </r>
  <r>
    <s v="TXN100093"/>
    <n v="51"/>
    <x v="16"/>
    <s v="2026-01-02 19:47:00"/>
    <n v="1499"/>
    <s v="UPI"/>
    <x v="0"/>
    <n v="80"/>
  </r>
  <r>
    <s v="TXN100094"/>
    <n v="42"/>
    <x v="2"/>
    <s v="2026-01-07 08:42:00"/>
    <n v="49"/>
    <s v="Wallet"/>
    <x v="0"/>
    <n v="30"/>
  </r>
  <r>
    <s v="TXN100095"/>
    <n v="81"/>
    <x v="37"/>
    <s v="2026-01-06 17:04:00"/>
    <n v="149"/>
    <s v="UPI"/>
    <x v="0"/>
    <n v="52"/>
  </r>
  <r>
    <s v="TXN100096"/>
    <n v="241"/>
    <x v="13"/>
    <s v="2026-01-15 22:38:00"/>
    <n v="299"/>
    <s v="UPI"/>
    <x v="0"/>
    <n v="4"/>
  </r>
  <r>
    <s v="TXN100097"/>
    <n v="145"/>
    <x v="24"/>
    <s v="2026-01-08 09:45:00"/>
    <n v="799"/>
    <s v="UPI"/>
    <x v="0"/>
    <n v="9"/>
  </r>
  <r>
    <s v="TXN100098"/>
    <n v="136"/>
    <x v="35"/>
    <s v="2026-01-22 07:59:00"/>
    <n v="299"/>
    <s v="Card"/>
    <x v="0"/>
    <n v="84"/>
  </r>
  <r>
    <s v="TXN100099"/>
    <n v="59"/>
    <x v="8"/>
    <s v="2026-01-26 06:27:00"/>
    <n v="499"/>
    <s v="UPI"/>
    <x v="0"/>
    <n v="28"/>
  </r>
  <r>
    <s v="TXN100100"/>
    <n v="137"/>
    <x v="34"/>
    <s v="2026-01-21 04:58:00"/>
    <n v="299"/>
    <s v="UPI"/>
    <x v="0"/>
    <n v="9"/>
  </r>
  <r>
    <s v="TXN100101"/>
    <n v="158"/>
    <x v="38"/>
    <s v="2026-01-02 05:50:00"/>
    <n v="499"/>
    <s v="Netbanking"/>
    <x v="0"/>
    <n v="95"/>
  </r>
  <r>
    <s v="TXN100102"/>
    <n v="148"/>
    <x v="26"/>
    <s v="2026-01-27 18:58:00"/>
    <n v="99"/>
    <s v="Card"/>
    <x v="0"/>
    <n v="15"/>
  </r>
  <r>
    <s v="TXN100103"/>
    <n v="207"/>
    <x v="7"/>
    <s v="2026-01-15 22:19:00"/>
    <n v="149"/>
    <s v="UPI"/>
    <x v="0"/>
    <n v="64"/>
  </r>
  <r>
    <s v="TXN100104"/>
    <n v="42"/>
    <x v="38"/>
    <s v="2026-01-18 15:28:00"/>
    <n v="2999"/>
    <s v="Card"/>
    <x v="0"/>
    <n v="5"/>
  </r>
  <r>
    <s v="TXN100105"/>
    <n v="166"/>
    <x v="38"/>
    <s v="2026-01-29 13:47:00"/>
    <n v="149"/>
    <s v="UPI"/>
    <x v="0"/>
    <n v="32"/>
  </r>
  <r>
    <s v="TXN100106"/>
    <n v="346"/>
    <x v="21"/>
    <s v="2026-01-01 02:14:00"/>
    <n v="99"/>
    <s v="UPI"/>
    <x v="0"/>
    <n v="75"/>
  </r>
  <r>
    <s v="TXN100107"/>
    <n v="138"/>
    <x v="21"/>
    <s v="2026-01-01 21:52:00"/>
    <n v="499"/>
    <s v="UPI"/>
    <x v="0"/>
    <n v="5"/>
  </r>
  <r>
    <s v="TXN100108"/>
    <n v="266"/>
    <x v="26"/>
    <s v="2026-01-25 05:30:00"/>
    <n v="499"/>
    <s v="Wallet"/>
    <x v="1"/>
    <n v="35"/>
  </r>
  <r>
    <s v="TXN100109"/>
    <n v="326"/>
    <x v="33"/>
    <s v="2026-01-06 18:27:00"/>
    <n v="149"/>
    <s v="UPI"/>
    <x v="0"/>
    <n v="11"/>
  </r>
  <r>
    <s v="TXN100110"/>
    <n v="171"/>
    <x v="17"/>
    <s v="2026-01-16 11:26:00"/>
    <n v="799"/>
    <s v="UPI"/>
    <x v="0"/>
    <n v="85"/>
  </r>
  <r>
    <s v="TXN100111"/>
    <n v="211"/>
    <x v="33"/>
    <s v="2026-01-04 05:21:00"/>
    <n v="49"/>
    <s v="UPI"/>
    <x v="0"/>
    <n v="36"/>
  </r>
  <r>
    <s v="TXN100112"/>
    <n v="282"/>
    <x v="4"/>
    <s v="2026-01-22 12:52:00"/>
    <n v="499"/>
    <s v="UPI"/>
    <x v="0"/>
    <n v="58"/>
  </r>
  <r>
    <s v="TXN100113"/>
    <n v="166"/>
    <x v="30"/>
    <s v="2026-01-03 10:16:00"/>
    <n v="299"/>
    <s v="UPI"/>
    <x v="0"/>
    <n v="98"/>
  </r>
  <r>
    <s v="TXN100114"/>
    <n v="1"/>
    <x v="8"/>
    <s v="2026-01-13 16:52:00"/>
    <n v="149"/>
    <s v="UPI"/>
    <x v="0"/>
    <n v="59"/>
  </r>
  <r>
    <s v="TXN100115"/>
    <n v="266"/>
    <x v="31"/>
    <s v="2026-01-14 01:12:00"/>
    <n v="499"/>
    <s v="UPI"/>
    <x v="0"/>
    <n v="79"/>
  </r>
  <r>
    <s v="TXN100116"/>
    <n v="227"/>
    <x v="29"/>
    <s v="2026-01-25 15:40:00"/>
    <n v="499"/>
    <s v="UPI"/>
    <x v="0"/>
    <n v="26"/>
  </r>
  <r>
    <s v="TXN100117"/>
    <n v="148"/>
    <x v="26"/>
    <s v="2026-01-09 17:08:00"/>
    <n v="499"/>
    <s v="UPI"/>
    <x v="0"/>
    <n v="89"/>
  </r>
  <r>
    <s v="TXN100118"/>
    <n v="323"/>
    <x v="38"/>
    <s v="2026-01-16 03:01:00"/>
    <n v="499"/>
    <s v="UPI"/>
    <x v="0"/>
    <n v="30"/>
  </r>
  <r>
    <s v="TXN100119"/>
    <n v="283"/>
    <x v="37"/>
    <s v="2026-01-23 05:19:00"/>
    <n v="2999"/>
    <s v="Wallet"/>
    <x v="0"/>
    <n v="70"/>
  </r>
  <r>
    <s v="TXN100120"/>
    <n v="59"/>
    <x v="24"/>
    <s v="2026-01-14 02:14:00"/>
    <n v="499"/>
    <s v="UPI"/>
    <x v="0"/>
    <n v="15"/>
  </r>
  <r>
    <s v="TXN100121"/>
    <n v="150"/>
    <x v="11"/>
    <s v="2026-01-21 04:31:00"/>
    <n v="2999"/>
    <s v="UPI"/>
    <x v="0"/>
    <n v="90"/>
  </r>
  <r>
    <s v="TXN100122"/>
    <n v="248"/>
    <x v="20"/>
    <s v="2026-01-09 13:53:00"/>
    <n v="1499"/>
    <s v="UPI"/>
    <x v="1"/>
    <n v="31"/>
  </r>
  <r>
    <s v="TXN100123"/>
    <n v="197"/>
    <x v="6"/>
    <s v="2026-01-15 17:09:00"/>
    <n v="49"/>
    <s v="UPI"/>
    <x v="0"/>
    <n v="76"/>
  </r>
  <r>
    <s v="TXN100124"/>
    <n v="70"/>
    <x v="32"/>
    <s v="2026-01-17 23:56:00"/>
    <n v="499"/>
    <s v="UPI"/>
    <x v="0"/>
    <n v="35"/>
  </r>
  <r>
    <s v="TXN100125"/>
    <n v="260"/>
    <x v="7"/>
    <s v="2026-01-25 13:21:00"/>
    <n v="1499"/>
    <s v="UPI"/>
    <x v="0"/>
    <n v="0"/>
  </r>
  <r>
    <s v="TXN100126"/>
    <n v="301"/>
    <x v="35"/>
    <s v="2026-01-10 23:19:00"/>
    <n v="99"/>
    <s v="UPI"/>
    <x v="0"/>
    <n v="84"/>
  </r>
  <r>
    <s v="TXN100127"/>
    <n v="276"/>
    <x v="20"/>
    <s v="2026-01-16 04:28:00"/>
    <n v="499"/>
    <s v="Card"/>
    <x v="0"/>
    <n v="44"/>
  </r>
  <r>
    <s v="TXN100128"/>
    <n v="279"/>
    <x v="14"/>
    <s v="2026-01-11 17:48:00"/>
    <n v="799"/>
    <s v="UPI"/>
    <x v="0"/>
    <n v="58"/>
  </r>
  <r>
    <s v="TXN100129"/>
    <n v="97"/>
    <x v="0"/>
    <s v="2026-01-30 10:55:00"/>
    <n v="799"/>
    <s v="Card"/>
    <x v="0"/>
    <n v="73"/>
  </r>
  <r>
    <s v="TXN100130"/>
    <n v="211"/>
    <x v="4"/>
    <s v="2026-01-13 07:54:00"/>
    <n v="149"/>
    <s v="UPI"/>
    <x v="2"/>
    <n v="40"/>
  </r>
  <r>
    <s v="TXN100131"/>
    <n v="196"/>
    <x v="14"/>
    <s v="2026-01-24 15:45:00"/>
    <n v="149"/>
    <s v="Netbanking"/>
    <x v="0"/>
    <n v="84"/>
  </r>
  <r>
    <s v="TXN100132"/>
    <n v="254"/>
    <x v="4"/>
    <s v="2026-01-26 20:09:00"/>
    <n v="149"/>
    <s v="Card"/>
    <x v="0"/>
    <n v="16"/>
  </r>
  <r>
    <s v="TXN100133"/>
    <n v="52"/>
    <x v="26"/>
    <s v="2026-01-17 18:21:00"/>
    <n v="49"/>
    <s v="Netbanking"/>
    <x v="0"/>
    <n v="12"/>
  </r>
  <r>
    <s v="TXN100134"/>
    <n v="74"/>
    <x v="1"/>
    <s v="2026-01-17 14:00:00"/>
    <n v="799"/>
    <s v="UPI"/>
    <x v="0"/>
    <n v="83"/>
  </r>
  <r>
    <s v="TXN100135"/>
    <n v="136"/>
    <x v="3"/>
    <s v="2026-01-05 02:30:00"/>
    <n v="149"/>
    <s v="UPI"/>
    <x v="0"/>
    <n v="79"/>
  </r>
  <r>
    <s v="TXN100136"/>
    <n v="42"/>
    <x v="3"/>
    <s v="2026-01-23 12:41:00"/>
    <n v="49"/>
    <s v="UPI"/>
    <x v="0"/>
    <n v="86"/>
  </r>
  <r>
    <s v="TXN100137"/>
    <n v="163"/>
    <x v="33"/>
    <s v="2026-01-28 17:24:00"/>
    <n v="2999"/>
    <s v="Wallet"/>
    <x v="1"/>
    <n v="69"/>
  </r>
  <r>
    <s v="TXN100138"/>
    <n v="121"/>
    <x v="13"/>
    <s v="2026-01-02 19:04:00"/>
    <n v="149"/>
    <s v="UPI"/>
    <x v="0"/>
    <n v="29"/>
  </r>
  <r>
    <s v="TXN100139"/>
    <n v="51"/>
    <x v="23"/>
    <s v="2026-01-24 02:27:00"/>
    <n v="499"/>
    <s v="Card"/>
    <x v="0"/>
    <n v="56"/>
  </r>
  <r>
    <s v="TXN100140"/>
    <n v="15"/>
    <x v="4"/>
    <s v="2026-01-06 22:19:00"/>
    <n v="799"/>
    <s v="UPI"/>
    <x v="0"/>
    <n v="41"/>
  </r>
  <r>
    <s v="TXN100141"/>
    <n v="184"/>
    <x v="31"/>
    <s v="2026-01-26 01:18:00"/>
    <n v="49"/>
    <s v="UPI"/>
    <x v="0"/>
    <n v="55"/>
  </r>
  <r>
    <s v="TXN100142"/>
    <n v="211"/>
    <x v="21"/>
    <s v="2026-01-05 07:33:00"/>
    <n v="1499"/>
    <s v="UPI"/>
    <x v="0"/>
    <n v="87"/>
  </r>
  <r>
    <s v="TXN100143"/>
    <n v="90"/>
    <x v="18"/>
    <s v="2026-01-26 05:10:00"/>
    <n v="49"/>
    <s v="Card"/>
    <x v="0"/>
    <n v="78"/>
  </r>
  <r>
    <s v="TXN100144"/>
    <n v="350"/>
    <x v="0"/>
    <s v="2026-01-28 12:39:00"/>
    <n v="49"/>
    <s v="UPI"/>
    <x v="0"/>
    <n v="63"/>
  </r>
  <r>
    <s v="TXN100145"/>
    <n v="119"/>
    <x v="24"/>
    <s v="2026-01-30 18:09:00"/>
    <n v="49"/>
    <s v="Card"/>
    <x v="0"/>
    <n v="81"/>
  </r>
  <r>
    <s v="TXN100146"/>
    <n v="342"/>
    <x v="37"/>
    <s v="2026-01-09 14:16:00"/>
    <n v="49"/>
    <s v="UPI"/>
    <x v="0"/>
    <n v="59"/>
  </r>
  <r>
    <s v="TXN100147"/>
    <n v="280"/>
    <x v="2"/>
    <s v="2026-01-29 09:43:00"/>
    <n v="149"/>
    <s v="UPI"/>
    <x v="2"/>
    <n v="9"/>
  </r>
  <r>
    <s v="TXN100148"/>
    <n v="154"/>
    <x v="10"/>
    <s v="2026-01-15 11:37:00"/>
    <n v="2999"/>
    <s v="Netbanking"/>
    <x v="0"/>
    <n v="88"/>
  </r>
  <r>
    <s v="TXN100149"/>
    <n v="155"/>
    <x v="6"/>
    <s v="2026-01-09 14:54:00"/>
    <n v="149"/>
    <s v="UPI"/>
    <x v="0"/>
    <n v="49"/>
  </r>
  <r>
    <s v="TXN100150"/>
    <n v="122"/>
    <x v="14"/>
    <s v="2026-01-28 15:06:00"/>
    <n v="299"/>
    <s v="UPI"/>
    <x v="0"/>
    <n v="73"/>
  </r>
  <r>
    <s v="TXN100151"/>
    <n v="152"/>
    <x v="27"/>
    <s v="2026-01-12 18:18:00"/>
    <n v="49"/>
    <s v="UPI"/>
    <x v="0"/>
    <n v="84"/>
  </r>
  <r>
    <s v="TXN100152"/>
    <n v="290"/>
    <x v="29"/>
    <s v="2026-01-13 08:00:00"/>
    <n v="149"/>
    <s v="UPI"/>
    <x v="0"/>
    <n v="77"/>
  </r>
  <r>
    <s v="TXN100153"/>
    <n v="147"/>
    <x v="19"/>
    <s v="2026-01-24 15:53:00"/>
    <n v="49"/>
    <s v="Wallet"/>
    <x v="0"/>
    <n v="77"/>
  </r>
  <r>
    <s v="TXN100154"/>
    <n v="326"/>
    <x v="6"/>
    <s v="2026-01-26 11:14:00"/>
    <n v="299"/>
    <s v="Netbanking"/>
    <x v="0"/>
    <n v="79"/>
  </r>
  <r>
    <s v="TXN100155"/>
    <n v="338"/>
    <x v="39"/>
    <s v="2026-01-09 21:48:00"/>
    <n v="99"/>
    <s v="Card"/>
    <x v="0"/>
    <n v="80"/>
  </r>
  <r>
    <s v="TXN100156"/>
    <n v="21"/>
    <x v="15"/>
    <s v="2026-01-04 20:41:00"/>
    <n v="2999"/>
    <s v="UPI"/>
    <x v="0"/>
    <n v="100"/>
  </r>
  <r>
    <s v="TXN100157"/>
    <n v="187"/>
    <x v="39"/>
    <s v="2026-01-15 01:37:00"/>
    <n v="49"/>
    <s v="Card"/>
    <x v="1"/>
    <n v="11"/>
  </r>
  <r>
    <s v="TXN100158"/>
    <n v="213"/>
    <x v="9"/>
    <s v="2026-01-30 09:20:00"/>
    <n v="4999"/>
    <s v="UPI"/>
    <x v="0"/>
    <n v="25"/>
  </r>
  <r>
    <s v="TXN100159"/>
    <n v="188"/>
    <x v="36"/>
    <s v="2026-01-05 17:56:00"/>
    <n v="2999"/>
    <s v="UPI"/>
    <x v="0"/>
    <n v="64"/>
  </r>
  <r>
    <s v="TXN100160"/>
    <n v="85"/>
    <x v="28"/>
    <s v="2026-01-30 08:53:00"/>
    <n v="499"/>
    <s v="UPI"/>
    <x v="0"/>
    <n v="61"/>
  </r>
  <r>
    <s v="TXN100161"/>
    <n v="174"/>
    <x v="30"/>
    <s v="2026-01-26 09:47:00"/>
    <n v="299"/>
    <s v="Netbanking"/>
    <x v="0"/>
    <n v="59"/>
  </r>
  <r>
    <s v="TXN100162"/>
    <n v="116"/>
    <x v="22"/>
    <s v="2026-01-03 04:48:00"/>
    <n v="99"/>
    <s v="Netbanking"/>
    <x v="0"/>
    <n v="71"/>
  </r>
  <r>
    <s v="TXN100163"/>
    <n v="203"/>
    <x v="37"/>
    <s v="2026-01-12 02:50:00"/>
    <n v="149"/>
    <s v="Wallet"/>
    <x v="0"/>
    <n v="33"/>
  </r>
  <r>
    <s v="TXN100164"/>
    <n v="189"/>
    <x v="28"/>
    <s v="2026-01-18 03:29:00"/>
    <n v="99"/>
    <s v="UPI"/>
    <x v="0"/>
    <n v="74"/>
  </r>
  <r>
    <s v="TXN100165"/>
    <n v="56"/>
    <x v="19"/>
    <s v="2026-01-13 20:23:00"/>
    <n v="299"/>
    <s v="UPI"/>
    <x v="0"/>
    <n v="60"/>
  </r>
  <r>
    <s v="TXN100166"/>
    <n v="288"/>
    <x v="17"/>
    <s v="2026-01-01 19:56:00"/>
    <n v="4999"/>
    <s v="Wallet"/>
    <x v="1"/>
    <n v="78"/>
  </r>
  <r>
    <s v="TXN100167"/>
    <n v="326"/>
    <x v="24"/>
    <s v="2026-01-08 20:04:00"/>
    <n v="99"/>
    <s v="Card"/>
    <x v="0"/>
    <n v="89"/>
  </r>
  <r>
    <s v="TXN100168"/>
    <n v="60"/>
    <x v="39"/>
    <s v="2026-01-10 20:26:00"/>
    <n v="49"/>
    <s v="Netbanking"/>
    <x v="0"/>
    <n v="5"/>
  </r>
  <r>
    <s v="TXN100169"/>
    <n v="60"/>
    <x v="23"/>
    <s v="2026-01-02 09:31:00"/>
    <n v="2999"/>
    <s v="Wallet"/>
    <x v="0"/>
    <n v="30"/>
  </r>
  <r>
    <s v="TXN100170"/>
    <n v="199"/>
    <x v="24"/>
    <s v="2026-01-29 17:08:00"/>
    <n v="149"/>
    <s v="Netbanking"/>
    <x v="0"/>
    <n v="47"/>
  </r>
  <r>
    <s v="TXN100171"/>
    <n v="277"/>
    <x v="1"/>
    <s v="2026-01-22 23:44:00"/>
    <n v="49"/>
    <s v="UPI"/>
    <x v="0"/>
    <n v="75"/>
  </r>
  <r>
    <s v="TXN100172"/>
    <n v="213"/>
    <x v="23"/>
    <s v="2026-01-24 23:09:00"/>
    <n v="799"/>
    <s v="Netbanking"/>
    <x v="0"/>
    <n v="62"/>
  </r>
  <r>
    <s v="TXN100173"/>
    <n v="17"/>
    <x v="31"/>
    <s v="2026-01-20 13:17:00"/>
    <n v="299"/>
    <s v="UPI"/>
    <x v="0"/>
    <n v="27"/>
  </r>
  <r>
    <s v="TXN100174"/>
    <n v="186"/>
    <x v="23"/>
    <s v="2026-01-15 14:15:00"/>
    <n v="1499"/>
    <s v="Card"/>
    <x v="1"/>
    <n v="87"/>
  </r>
  <r>
    <s v="TXN100175"/>
    <n v="331"/>
    <x v="5"/>
    <s v="2026-01-12 17:57:00"/>
    <n v="149"/>
    <s v="UPI"/>
    <x v="0"/>
    <n v="7"/>
  </r>
  <r>
    <s v="TXN100176"/>
    <n v="63"/>
    <x v="24"/>
    <s v="2026-01-13 08:12:00"/>
    <n v="1499"/>
    <s v="Card"/>
    <x v="0"/>
    <n v="11"/>
  </r>
  <r>
    <s v="TXN100177"/>
    <n v="328"/>
    <x v="38"/>
    <s v="2026-01-22 06:41:00"/>
    <n v="4999"/>
    <s v="Wallet"/>
    <x v="2"/>
    <n v="2"/>
  </r>
  <r>
    <s v="TXN100178"/>
    <n v="65"/>
    <x v="21"/>
    <s v="2026-01-02 10:15:00"/>
    <n v="2999"/>
    <s v="Card"/>
    <x v="0"/>
    <n v="26"/>
  </r>
  <r>
    <s v="TXN100179"/>
    <n v="301"/>
    <x v="16"/>
    <s v="2026-01-03 17:13:00"/>
    <n v="149"/>
    <s v="UPI"/>
    <x v="0"/>
    <n v="29"/>
  </r>
  <r>
    <s v="TXN100180"/>
    <n v="306"/>
    <x v="37"/>
    <s v="2026-01-11 04:50:00"/>
    <n v="299"/>
    <s v="UPI"/>
    <x v="1"/>
    <n v="35"/>
  </r>
  <r>
    <s v="TXN100181"/>
    <n v="277"/>
    <x v="28"/>
    <s v="2026-01-28 04:08:00"/>
    <n v="299"/>
    <s v="UPI"/>
    <x v="0"/>
    <n v="22"/>
  </r>
  <r>
    <s v="TXN100182"/>
    <n v="14"/>
    <x v="39"/>
    <s v="2026-01-04 21:55:00"/>
    <n v="499"/>
    <s v="UPI"/>
    <x v="0"/>
    <n v="1"/>
  </r>
  <r>
    <s v="TXN100183"/>
    <n v="166"/>
    <x v="27"/>
    <s v="2026-01-12 07:37:00"/>
    <n v="299"/>
    <s v="Card"/>
    <x v="0"/>
    <n v="22"/>
  </r>
  <r>
    <s v="TXN100184"/>
    <n v="216"/>
    <x v="36"/>
    <s v="2026-01-09 01:08:00"/>
    <n v="299"/>
    <s v="Card"/>
    <x v="0"/>
    <n v="14"/>
  </r>
  <r>
    <s v="TXN100185"/>
    <n v="230"/>
    <x v="31"/>
    <s v="2026-01-24 02:30:00"/>
    <n v="49"/>
    <s v="UPI"/>
    <x v="0"/>
    <n v="65"/>
  </r>
  <r>
    <s v="TXN100186"/>
    <n v="258"/>
    <x v="19"/>
    <s v="2026-01-19 03:28:00"/>
    <n v="499"/>
    <s v="Wallet"/>
    <x v="0"/>
    <n v="78"/>
  </r>
  <r>
    <s v="TXN100187"/>
    <n v="338"/>
    <x v="36"/>
    <s v="2026-01-02 23:50:00"/>
    <n v="49"/>
    <s v="UPI"/>
    <x v="0"/>
    <n v="38"/>
  </r>
  <r>
    <s v="TXN100188"/>
    <n v="32"/>
    <x v="20"/>
    <s v="2026-01-15 20:01:00"/>
    <n v="299"/>
    <s v="UPI"/>
    <x v="0"/>
    <n v="51"/>
  </r>
  <r>
    <s v="TXN100189"/>
    <n v="252"/>
    <x v="26"/>
    <s v="2026-01-14 21:06:00"/>
    <n v="1499"/>
    <s v="UPI"/>
    <x v="0"/>
    <n v="9"/>
  </r>
  <r>
    <s v="TXN100190"/>
    <n v="312"/>
    <x v="34"/>
    <s v="2026-01-29 02:20:00"/>
    <n v="799"/>
    <s v="UPI"/>
    <x v="0"/>
    <n v="8"/>
  </r>
  <r>
    <s v="TXN100191"/>
    <n v="325"/>
    <x v="35"/>
    <s v="2026-01-05 08:39:00"/>
    <n v="1499"/>
    <s v="Netbanking"/>
    <x v="0"/>
    <n v="70"/>
  </r>
  <r>
    <s v="TXN100192"/>
    <n v="306"/>
    <x v="36"/>
    <s v="2026-01-23 10:24:00"/>
    <n v="2999"/>
    <s v="UPI"/>
    <x v="0"/>
    <n v="37"/>
  </r>
  <r>
    <s v="TXN100193"/>
    <n v="221"/>
    <x v="23"/>
    <s v="2026-01-15 16:38:00"/>
    <n v="149"/>
    <s v="Netbanking"/>
    <x v="0"/>
    <n v="89"/>
  </r>
  <r>
    <s v="TXN100194"/>
    <n v="283"/>
    <x v="16"/>
    <s v="2026-01-04 20:41:00"/>
    <n v="99"/>
    <s v="Wallet"/>
    <x v="0"/>
    <n v="55"/>
  </r>
  <r>
    <s v="TXN100195"/>
    <n v="174"/>
    <x v="24"/>
    <s v="2026-01-15 07:26:00"/>
    <n v="49"/>
    <s v="UPI"/>
    <x v="0"/>
    <n v="51"/>
  </r>
  <r>
    <s v="TXN100196"/>
    <n v="161"/>
    <x v="10"/>
    <s v="2026-01-14 23:06:00"/>
    <n v="49"/>
    <s v="UPI"/>
    <x v="0"/>
    <n v="40"/>
  </r>
  <r>
    <s v="TXN100197"/>
    <n v="79"/>
    <x v="20"/>
    <s v="2026-01-22 08:23:00"/>
    <n v="99"/>
    <s v="UPI"/>
    <x v="0"/>
    <n v="8"/>
  </r>
  <r>
    <s v="TXN100198"/>
    <n v="222"/>
    <x v="23"/>
    <s v="2026-01-03 02:05:00"/>
    <n v="149"/>
    <s v="Wallet"/>
    <x v="0"/>
    <n v="95"/>
  </r>
  <r>
    <s v="TXN100199"/>
    <n v="67"/>
    <x v="25"/>
    <s v="2026-01-24 11:51:00"/>
    <n v="99"/>
    <s v="UPI"/>
    <x v="0"/>
    <n v="7"/>
  </r>
  <r>
    <s v="TXN100200"/>
    <n v="169"/>
    <x v="30"/>
    <s v="2026-01-19 17:35:00"/>
    <n v="99"/>
    <s v="UPI"/>
    <x v="0"/>
    <n v="52"/>
  </r>
  <r>
    <s v="TXN100201"/>
    <n v="217"/>
    <x v="29"/>
    <s v="2026-01-12 21:48:00"/>
    <n v="49"/>
    <s v="UPI"/>
    <x v="0"/>
    <n v="36"/>
  </r>
  <r>
    <s v="TXN100202"/>
    <n v="54"/>
    <x v="21"/>
    <s v="2026-01-20 09:22:00"/>
    <n v="149"/>
    <s v="UPI"/>
    <x v="0"/>
    <n v="64"/>
  </r>
  <r>
    <s v="TXN100203"/>
    <n v="247"/>
    <x v="19"/>
    <s v="2026-01-07 04:42:00"/>
    <n v="49"/>
    <s v="Card"/>
    <x v="0"/>
    <n v="13"/>
  </r>
  <r>
    <s v="TXN100204"/>
    <n v="59"/>
    <x v="7"/>
    <s v="2026-01-12 17:23:00"/>
    <n v="49"/>
    <s v="Card"/>
    <x v="0"/>
    <n v="73"/>
  </r>
  <r>
    <s v="TXN100205"/>
    <n v="288"/>
    <x v="12"/>
    <s v="2026-01-08 13:54:00"/>
    <n v="49"/>
    <s v="UPI"/>
    <x v="1"/>
    <n v="78"/>
  </r>
  <r>
    <s v="TXN100206"/>
    <n v="14"/>
    <x v="38"/>
    <s v="2026-01-22 20:35:00"/>
    <n v="799"/>
    <s v="UPI"/>
    <x v="0"/>
    <n v="84"/>
  </r>
  <r>
    <s v="TXN100207"/>
    <n v="15"/>
    <x v="9"/>
    <s v="2026-01-27 22:17:00"/>
    <n v="149"/>
    <s v="UPI"/>
    <x v="0"/>
    <n v="34"/>
  </r>
  <r>
    <s v="TXN100208"/>
    <n v="174"/>
    <x v="5"/>
    <s v="2026-01-23 09:58:00"/>
    <n v="149"/>
    <s v="UPI"/>
    <x v="0"/>
    <n v="0"/>
  </r>
  <r>
    <s v="TXN100209"/>
    <n v="337"/>
    <x v="22"/>
    <s v="2026-01-06 04:36:00"/>
    <n v="49"/>
    <s v="UPI"/>
    <x v="0"/>
    <n v="8"/>
  </r>
  <r>
    <s v="TXN100210"/>
    <n v="16"/>
    <x v="18"/>
    <s v="2026-01-05 23:40:00"/>
    <n v="1499"/>
    <s v="UPI"/>
    <x v="0"/>
    <n v="95"/>
  </r>
  <r>
    <s v="TXN100211"/>
    <n v="215"/>
    <x v="24"/>
    <s v="2026-01-17 06:24:00"/>
    <n v="49"/>
    <s v="UPI"/>
    <x v="0"/>
    <n v="43"/>
  </r>
  <r>
    <s v="TXN100212"/>
    <n v="167"/>
    <x v="21"/>
    <s v="2026-01-06 11:19:00"/>
    <n v="99"/>
    <s v="UPI"/>
    <x v="0"/>
    <n v="76"/>
  </r>
  <r>
    <s v="TXN100213"/>
    <n v="81"/>
    <x v="12"/>
    <s v="2026-01-03 01:09:00"/>
    <n v="49"/>
    <s v="UPI"/>
    <x v="0"/>
    <n v="6"/>
  </r>
  <r>
    <s v="TXN100214"/>
    <n v="227"/>
    <x v="10"/>
    <s v="2026-01-22 02:17:00"/>
    <n v="99"/>
    <s v="UPI"/>
    <x v="0"/>
    <n v="62"/>
  </r>
  <r>
    <s v="TXN100215"/>
    <n v="140"/>
    <x v="16"/>
    <s v="2026-01-20 14:26:00"/>
    <n v="299"/>
    <s v="Wallet"/>
    <x v="0"/>
    <n v="96"/>
  </r>
  <r>
    <s v="TXN100216"/>
    <n v="221"/>
    <x v="30"/>
    <s v="2026-01-17 03:22:00"/>
    <n v="299"/>
    <s v="UPI"/>
    <x v="0"/>
    <n v="36"/>
  </r>
  <r>
    <s v="TXN100217"/>
    <n v="250"/>
    <x v="36"/>
    <s v="2026-01-22 21:37:00"/>
    <n v="299"/>
    <s v="Wallet"/>
    <x v="0"/>
    <n v="85"/>
  </r>
  <r>
    <s v="TXN100218"/>
    <n v="203"/>
    <x v="38"/>
    <s v="2026-01-10 01:14:00"/>
    <n v="49"/>
    <s v="UPI"/>
    <x v="0"/>
    <n v="7"/>
  </r>
  <r>
    <s v="TXN100219"/>
    <n v="109"/>
    <x v="39"/>
    <s v="2026-01-01 06:19:00"/>
    <n v="499"/>
    <s v="Wallet"/>
    <x v="0"/>
    <n v="97"/>
  </r>
  <r>
    <s v="TXN100220"/>
    <n v="62"/>
    <x v="37"/>
    <s v="2026-01-09 09:20:00"/>
    <n v="4999"/>
    <s v="Wallet"/>
    <x v="0"/>
    <n v="63"/>
  </r>
  <r>
    <s v="TXN100221"/>
    <n v="67"/>
    <x v="14"/>
    <s v="2026-01-24 13:11:00"/>
    <n v="49"/>
    <s v="UPI"/>
    <x v="0"/>
    <n v="68"/>
  </r>
  <r>
    <s v="TXN100222"/>
    <n v="287"/>
    <x v="5"/>
    <s v="2026-01-23 07:32:00"/>
    <n v="49"/>
    <s v="UPI"/>
    <x v="0"/>
    <n v="9"/>
  </r>
  <r>
    <s v="TXN100223"/>
    <n v="224"/>
    <x v="27"/>
    <s v="2026-01-13 23:02:00"/>
    <n v="49"/>
    <s v="Card"/>
    <x v="0"/>
    <n v="58"/>
  </r>
  <r>
    <s v="TXN100224"/>
    <n v="161"/>
    <x v="21"/>
    <s v="2026-01-30 02:55:00"/>
    <n v="299"/>
    <s v="UPI"/>
    <x v="0"/>
    <n v="54"/>
  </r>
  <r>
    <s v="TXN100225"/>
    <n v="328"/>
    <x v="1"/>
    <s v="2026-01-19 12:45:00"/>
    <n v="49"/>
    <s v="UPI"/>
    <x v="2"/>
    <n v="37"/>
  </r>
  <r>
    <s v="TXN100226"/>
    <n v="167"/>
    <x v="2"/>
    <s v="2026-01-04 12:01:00"/>
    <n v="1499"/>
    <s v="Card"/>
    <x v="1"/>
    <n v="79"/>
  </r>
  <r>
    <s v="TXN100227"/>
    <n v="186"/>
    <x v="18"/>
    <s v="2026-01-15 22:58:00"/>
    <n v="49"/>
    <s v="Wallet"/>
    <x v="0"/>
    <n v="55"/>
  </r>
  <r>
    <s v="TXN100228"/>
    <n v="224"/>
    <x v="35"/>
    <s v="2026-01-28 03:15:00"/>
    <n v="299"/>
    <s v="Wallet"/>
    <x v="1"/>
    <n v="51"/>
  </r>
  <r>
    <s v="TXN100229"/>
    <n v="159"/>
    <x v="3"/>
    <s v="2026-01-17 02:25:00"/>
    <n v="799"/>
    <s v="UPI"/>
    <x v="0"/>
    <n v="28"/>
  </r>
  <r>
    <s v="TXN100230"/>
    <n v="262"/>
    <x v="30"/>
    <s v="2026-01-11 05:04:00"/>
    <n v="149"/>
    <s v="UPI"/>
    <x v="0"/>
    <n v="67"/>
  </r>
  <r>
    <s v="TXN100231"/>
    <n v="179"/>
    <x v="5"/>
    <s v="2026-01-17 06:57:00"/>
    <n v="49"/>
    <s v="Wallet"/>
    <x v="0"/>
    <n v="93"/>
  </r>
  <r>
    <s v="TXN100232"/>
    <n v="76"/>
    <x v="0"/>
    <s v="2026-01-27 20:52:00"/>
    <n v="299"/>
    <s v="UPI"/>
    <x v="0"/>
    <n v="13"/>
  </r>
  <r>
    <s v="TXN100233"/>
    <n v="89"/>
    <x v="38"/>
    <s v="2026-01-05 08:12:00"/>
    <n v="299"/>
    <s v="UPI"/>
    <x v="0"/>
    <n v="19"/>
  </r>
  <r>
    <s v="TXN100234"/>
    <n v="91"/>
    <x v="33"/>
    <s v="2026-01-25 20:04:00"/>
    <n v="49"/>
    <s v="UPI"/>
    <x v="0"/>
    <n v="59"/>
  </r>
  <r>
    <s v="TXN100235"/>
    <n v="297"/>
    <x v="26"/>
    <s v="2026-01-25 18:48:00"/>
    <n v="99"/>
    <s v="Card"/>
    <x v="2"/>
    <n v="87"/>
  </r>
  <r>
    <s v="TXN100236"/>
    <n v="326"/>
    <x v="12"/>
    <s v="2026-01-30 18:41:00"/>
    <n v="499"/>
    <s v="Card"/>
    <x v="0"/>
    <n v="41"/>
  </r>
  <r>
    <s v="TXN100237"/>
    <n v="78"/>
    <x v="26"/>
    <s v="2026-01-28 20:20:00"/>
    <n v="149"/>
    <s v="UPI"/>
    <x v="0"/>
    <n v="8"/>
  </r>
  <r>
    <s v="TXN100238"/>
    <n v="156"/>
    <x v="7"/>
    <s v="2026-01-16 14:40:00"/>
    <n v="2999"/>
    <s v="Card"/>
    <x v="0"/>
    <n v="75"/>
  </r>
  <r>
    <s v="TXN100239"/>
    <n v="38"/>
    <x v="15"/>
    <s v="2026-01-02 11:32:00"/>
    <n v="49"/>
    <s v="Wallet"/>
    <x v="1"/>
    <n v="59"/>
  </r>
  <r>
    <s v="TXN100240"/>
    <n v="189"/>
    <x v="13"/>
    <s v="2026-01-15 01:03:00"/>
    <n v="99"/>
    <s v="UPI"/>
    <x v="1"/>
    <n v="9"/>
  </r>
  <r>
    <s v="TXN100241"/>
    <n v="305"/>
    <x v="11"/>
    <s v="2026-01-21 02:39:00"/>
    <n v="299"/>
    <s v="Card"/>
    <x v="0"/>
    <n v="49"/>
  </r>
  <r>
    <s v="TXN100242"/>
    <n v="22"/>
    <x v="26"/>
    <s v="2026-01-15 18:35:00"/>
    <n v="799"/>
    <s v="UPI"/>
    <x v="0"/>
    <n v="73"/>
  </r>
  <r>
    <s v="TXN100243"/>
    <n v="310"/>
    <x v="20"/>
    <s v="2026-01-21 06:20:00"/>
    <n v="49"/>
    <s v="Card"/>
    <x v="0"/>
    <n v="64"/>
  </r>
  <r>
    <s v="TXN100244"/>
    <n v="53"/>
    <x v="3"/>
    <s v="2026-01-05 01:28:00"/>
    <n v="299"/>
    <s v="UPI"/>
    <x v="0"/>
    <n v="91"/>
  </r>
  <r>
    <s v="TXN100245"/>
    <n v="89"/>
    <x v="4"/>
    <s v="2026-01-03 16:41:00"/>
    <n v="149"/>
    <s v="Card"/>
    <x v="0"/>
    <n v="31"/>
  </r>
  <r>
    <s v="TXN100246"/>
    <n v="269"/>
    <x v="36"/>
    <s v="2026-01-23 14:28:00"/>
    <n v="149"/>
    <s v="UPI"/>
    <x v="0"/>
    <n v="78"/>
  </r>
  <r>
    <s v="TXN100247"/>
    <n v="145"/>
    <x v="14"/>
    <s v="2026-01-06 11:23:00"/>
    <n v="799"/>
    <s v="UPI"/>
    <x v="0"/>
    <n v="52"/>
  </r>
  <r>
    <s v="TXN100248"/>
    <n v="307"/>
    <x v="29"/>
    <s v="2026-01-25 10:43:00"/>
    <n v="1499"/>
    <s v="UPI"/>
    <x v="0"/>
    <n v="80"/>
  </r>
  <r>
    <s v="TXN100249"/>
    <n v="169"/>
    <x v="23"/>
    <s v="2026-01-21 10:04:00"/>
    <n v="1499"/>
    <s v="Wallet"/>
    <x v="0"/>
    <n v="71"/>
  </r>
  <r>
    <s v="TXN100250"/>
    <n v="130"/>
    <x v="38"/>
    <s v="2026-01-22 12:18:00"/>
    <n v="2999"/>
    <s v="Wallet"/>
    <x v="0"/>
    <n v="19"/>
  </r>
  <r>
    <s v="TXN100251"/>
    <n v="340"/>
    <x v="34"/>
    <s v="2026-01-11 02:37:00"/>
    <n v="49"/>
    <s v="Card"/>
    <x v="0"/>
    <n v="44"/>
  </r>
  <r>
    <s v="TXN100252"/>
    <n v="340"/>
    <x v="22"/>
    <s v="2026-01-10 20:44:00"/>
    <n v="299"/>
    <s v="Card"/>
    <x v="0"/>
    <n v="16"/>
  </r>
  <r>
    <s v="TXN100253"/>
    <n v="159"/>
    <x v="25"/>
    <s v="2026-01-20 22:05:00"/>
    <n v="49"/>
    <s v="UPI"/>
    <x v="0"/>
    <n v="48"/>
  </r>
  <r>
    <s v="TXN100254"/>
    <n v="66"/>
    <x v="36"/>
    <s v="2026-01-21 10:52:00"/>
    <n v="799"/>
    <s v="UPI"/>
    <x v="0"/>
    <n v="11"/>
  </r>
  <r>
    <s v="TXN100255"/>
    <n v="261"/>
    <x v="31"/>
    <s v="2026-01-21 21:27:00"/>
    <n v="799"/>
    <s v="Card"/>
    <x v="0"/>
    <n v="2"/>
  </r>
  <r>
    <s v="TXN100256"/>
    <n v="110"/>
    <x v="3"/>
    <s v="2026-01-12 09:11:00"/>
    <n v="799"/>
    <s v="UPI"/>
    <x v="0"/>
    <n v="98"/>
  </r>
  <r>
    <s v="TXN100257"/>
    <n v="71"/>
    <x v="34"/>
    <s v="2026-01-16 06:14:00"/>
    <n v="49"/>
    <s v="UPI"/>
    <x v="0"/>
    <n v="9"/>
  </r>
  <r>
    <s v="TXN100258"/>
    <n v="277"/>
    <x v="36"/>
    <s v="2026-01-10 03:32:00"/>
    <n v="49"/>
    <s v="UPI"/>
    <x v="0"/>
    <n v="4"/>
  </r>
  <r>
    <s v="TXN100259"/>
    <n v="317"/>
    <x v="39"/>
    <s v="2026-01-22 10:56:00"/>
    <n v="499"/>
    <s v="Wallet"/>
    <x v="0"/>
    <n v="76"/>
  </r>
  <r>
    <s v="TXN100260"/>
    <n v="93"/>
    <x v="12"/>
    <s v="2026-01-13 04:10:00"/>
    <n v="299"/>
    <s v="UPI"/>
    <x v="0"/>
    <n v="21"/>
  </r>
  <r>
    <s v="TXN100261"/>
    <n v="211"/>
    <x v="31"/>
    <s v="2026-01-24 14:02:00"/>
    <n v="99"/>
    <s v="Netbanking"/>
    <x v="0"/>
    <n v="86"/>
  </r>
  <r>
    <s v="TXN100262"/>
    <n v="313"/>
    <x v="13"/>
    <s v="2026-01-24 07:28:00"/>
    <n v="149"/>
    <s v="UPI"/>
    <x v="0"/>
    <n v="96"/>
  </r>
  <r>
    <s v="TXN100263"/>
    <n v="274"/>
    <x v="0"/>
    <s v="2026-01-24 14:14:00"/>
    <n v="49"/>
    <s v="Wallet"/>
    <x v="1"/>
    <n v="39"/>
  </r>
  <r>
    <s v="TXN100264"/>
    <n v="100"/>
    <x v="31"/>
    <s v="2026-01-26 15:57:00"/>
    <n v="299"/>
    <s v="UPI"/>
    <x v="0"/>
    <n v="86"/>
  </r>
  <r>
    <s v="TXN100265"/>
    <n v="145"/>
    <x v="14"/>
    <s v="2026-01-19 14:29:00"/>
    <n v="2999"/>
    <s v="Wallet"/>
    <x v="0"/>
    <n v="64"/>
  </r>
  <r>
    <s v="TXN100266"/>
    <n v="103"/>
    <x v="38"/>
    <s v="2026-01-17 13:10:00"/>
    <n v="2999"/>
    <s v="Wallet"/>
    <x v="0"/>
    <n v="17"/>
  </r>
  <r>
    <s v="TXN100267"/>
    <n v="329"/>
    <x v="20"/>
    <s v="2026-01-28 08:03:00"/>
    <n v="299"/>
    <s v="Wallet"/>
    <x v="0"/>
    <n v="47"/>
  </r>
  <r>
    <s v="TXN100268"/>
    <n v="265"/>
    <x v="30"/>
    <s v="2026-01-18 03:45:00"/>
    <n v="499"/>
    <s v="Netbanking"/>
    <x v="0"/>
    <n v="36"/>
  </r>
  <r>
    <s v="TXN100269"/>
    <n v="231"/>
    <x v="11"/>
    <s v="2026-01-03 05:17:00"/>
    <n v="149"/>
    <s v="UPI"/>
    <x v="1"/>
    <n v="18"/>
  </r>
  <r>
    <s v="TXN100270"/>
    <n v="114"/>
    <x v="26"/>
    <s v="2026-01-27 13:05:00"/>
    <n v="799"/>
    <s v="UPI"/>
    <x v="2"/>
    <n v="44"/>
  </r>
  <r>
    <s v="TXN100271"/>
    <n v="28"/>
    <x v="22"/>
    <s v="2026-01-30 00:26:00"/>
    <n v="1499"/>
    <s v="UPI"/>
    <x v="1"/>
    <n v="64"/>
  </r>
  <r>
    <s v="TXN100272"/>
    <n v="42"/>
    <x v="31"/>
    <s v="2026-01-12 07:24:00"/>
    <n v="149"/>
    <s v="UPI"/>
    <x v="0"/>
    <n v="28"/>
  </r>
  <r>
    <s v="TXN100273"/>
    <n v="51"/>
    <x v="3"/>
    <s v="2026-01-01 10:59:00"/>
    <n v="799"/>
    <s v="UPI"/>
    <x v="0"/>
    <n v="18"/>
  </r>
  <r>
    <s v="TXN100274"/>
    <n v="242"/>
    <x v="39"/>
    <s v="2026-01-05 01:18:00"/>
    <n v="149"/>
    <s v="UPI"/>
    <x v="0"/>
    <n v="97"/>
  </r>
  <r>
    <s v="TXN100275"/>
    <n v="316"/>
    <x v="37"/>
    <s v="2026-01-23 15:28:00"/>
    <n v="149"/>
    <s v="UPI"/>
    <x v="0"/>
    <n v="10"/>
  </r>
  <r>
    <s v="TXN100276"/>
    <n v="77"/>
    <x v="25"/>
    <s v="2026-01-01 08:13:00"/>
    <n v="149"/>
    <s v="UPI"/>
    <x v="0"/>
    <n v="93"/>
  </r>
  <r>
    <s v="TXN100277"/>
    <n v="57"/>
    <x v="13"/>
    <s v="2026-01-20 16:27:00"/>
    <n v="49"/>
    <s v="UPI"/>
    <x v="0"/>
    <n v="30"/>
  </r>
  <r>
    <s v="TXN100278"/>
    <n v="123"/>
    <x v="1"/>
    <s v="2026-01-10 03:03:00"/>
    <n v="149"/>
    <s v="Netbanking"/>
    <x v="0"/>
    <n v="81"/>
  </r>
  <r>
    <s v="TXN100279"/>
    <n v="33"/>
    <x v="30"/>
    <s v="2026-01-26 19:29:00"/>
    <n v="299"/>
    <s v="Wallet"/>
    <x v="0"/>
    <n v="63"/>
  </r>
  <r>
    <s v="TXN100280"/>
    <n v="324"/>
    <x v="11"/>
    <s v="2026-01-20 17:01:00"/>
    <n v="499"/>
    <s v="UPI"/>
    <x v="0"/>
    <n v="73"/>
  </r>
  <r>
    <s v="TXN100281"/>
    <n v="150"/>
    <x v="10"/>
    <s v="2026-01-08 22:09:00"/>
    <n v="49"/>
    <s v="UPI"/>
    <x v="1"/>
    <n v="0"/>
  </r>
  <r>
    <s v="TXN100282"/>
    <n v="293"/>
    <x v="1"/>
    <s v="2026-01-20 11:15:00"/>
    <n v="4999"/>
    <s v="UPI"/>
    <x v="0"/>
    <n v="23"/>
  </r>
  <r>
    <s v="TXN100283"/>
    <n v="269"/>
    <x v="31"/>
    <s v="2026-01-22 21:05:00"/>
    <n v="49"/>
    <s v="Wallet"/>
    <x v="0"/>
    <n v="8"/>
  </r>
  <r>
    <s v="TXN100284"/>
    <n v="260"/>
    <x v="25"/>
    <s v="2026-01-17 17:32:00"/>
    <n v="1499"/>
    <s v="UPI"/>
    <x v="0"/>
    <n v="2"/>
  </r>
  <r>
    <s v="TXN100285"/>
    <n v="326"/>
    <x v="14"/>
    <s v="2026-01-13 15:02:00"/>
    <n v="49"/>
    <s v="UPI"/>
    <x v="0"/>
    <n v="47"/>
  </r>
  <r>
    <s v="TXN100286"/>
    <n v="183"/>
    <x v="32"/>
    <s v="2026-01-09 23:01:00"/>
    <n v="49"/>
    <s v="Card"/>
    <x v="0"/>
    <n v="44"/>
  </r>
  <r>
    <s v="TXN100287"/>
    <n v="322"/>
    <x v="23"/>
    <s v="2026-01-08 23:42:00"/>
    <n v="299"/>
    <s v="UPI"/>
    <x v="0"/>
    <n v="98"/>
  </r>
  <r>
    <s v="TXN100288"/>
    <n v="171"/>
    <x v="39"/>
    <s v="2026-01-19 23:48:00"/>
    <n v="299"/>
    <s v="UPI"/>
    <x v="0"/>
    <n v="5"/>
  </r>
  <r>
    <s v="TXN100289"/>
    <n v="330"/>
    <x v="9"/>
    <s v="2026-01-12 17:21:00"/>
    <n v="1499"/>
    <s v="Netbanking"/>
    <x v="0"/>
    <n v="99"/>
  </r>
  <r>
    <s v="TXN100290"/>
    <n v="246"/>
    <x v="9"/>
    <s v="2026-01-22 14:44:00"/>
    <n v="99"/>
    <s v="Wallet"/>
    <x v="0"/>
    <n v="17"/>
  </r>
  <r>
    <s v="TXN100291"/>
    <n v="235"/>
    <x v="4"/>
    <s v="2026-01-03 22:49:00"/>
    <n v="49"/>
    <s v="UPI"/>
    <x v="0"/>
    <n v="37"/>
  </r>
  <r>
    <s v="TXN100292"/>
    <n v="103"/>
    <x v="4"/>
    <s v="2026-01-07 01:50:00"/>
    <n v="499"/>
    <s v="UPI"/>
    <x v="0"/>
    <n v="40"/>
  </r>
  <r>
    <s v="TXN100293"/>
    <n v="204"/>
    <x v="8"/>
    <s v="2026-01-30 09:32:00"/>
    <n v="99"/>
    <s v="Wallet"/>
    <x v="0"/>
    <n v="60"/>
  </r>
  <r>
    <s v="TXN100294"/>
    <n v="332"/>
    <x v="6"/>
    <s v="2026-01-09 01:48:00"/>
    <n v="49"/>
    <s v="Card"/>
    <x v="0"/>
    <n v="36"/>
  </r>
  <r>
    <s v="TXN100295"/>
    <n v="336"/>
    <x v="3"/>
    <s v="2026-01-12 01:55:00"/>
    <n v="499"/>
    <s v="UPI"/>
    <x v="0"/>
    <n v="34"/>
  </r>
  <r>
    <s v="TXN100296"/>
    <n v="205"/>
    <x v="26"/>
    <s v="2026-01-04 11:27:00"/>
    <n v="99"/>
    <s v="Wallet"/>
    <x v="0"/>
    <n v="49"/>
  </r>
  <r>
    <s v="TXN100297"/>
    <n v="255"/>
    <x v="31"/>
    <s v="2026-01-11 05:31:00"/>
    <n v="799"/>
    <s v="UPI"/>
    <x v="0"/>
    <n v="66"/>
  </r>
  <r>
    <s v="TXN100298"/>
    <n v="218"/>
    <x v="18"/>
    <s v="2026-01-09 02:46:00"/>
    <n v="99"/>
    <s v="UPI"/>
    <x v="0"/>
    <n v="55"/>
  </r>
  <r>
    <s v="TXN100299"/>
    <n v="151"/>
    <x v="17"/>
    <s v="2026-01-20 05:34:00"/>
    <n v="49"/>
    <s v="UPI"/>
    <x v="0"/>
    <n v="13"/>
  </r>
  <r>
    <s v="TXN100300"/>
    <n v="152"/>
    <x v="15"/>
    <s v="2026-01-03 10:42:00"/>
    <n v="49"/>
    <s v="UPI"/>
    <x v="0"/>
    <n v="57"/>
  </r>
  <r>
    <s v="TXN100301"/>
    <n v="86"/>
    <x v="26"/>
    <s v="2026-01-20 22:27:00"/>
    <n v="149"/>
    <s v="Card"/>
    <x v="0"/>
    <n v="44"/>
  </r>
  <r>
    <s v="TXN100302"/>
    <n v="181"/>
    <x v="12"/>
    <s v="2026-01-15 01:46:00"/>
    <n v="149"/>
    <s v="UPI"/>
    <x v="0"/>
    <n v="55"/>
  </r>
  <r>
    <s v="TXN100303"/>
    <n v="30"/>
    <x v="32"/>
    <s v="2026-01-09 20:50:00"/>
    <n v="299"/>
    <s v="UPI"/>
    <x v="0"/>
    <n v="85"/>
  </r>
  <r>
    <s v="TXN100304"/>
    <n v="263"/>
    <x v="2"/>
    <s v="2026-01-21 12:23:00"/>
    <n v="149"/>
    <s v="Wallet"/>
    <x v="0"/>
    <n v="3"/>
  </r>
  <r>
    <s v="TXN100305"/>
    <n v="225"/>
    <x v="4"/>
    <s v="2026-01-05 19:43:00"/>
    <n v="99"/>
    <s v="Netbanking"/>
    <x v="0"/>
    <n v="16"/>
  </r>
  <r>
    <s v="TXN100306"/>
    <n v="331"/>
    <x v="31"/>
    <s v="2026-01-03 07:49:00"/>
    <n v="49"/>
    <s v="Card"/>
    <x v="0"/>
    <n v="46"/>
  </r>
  <r>
    <s v="TXN100307"/>
    <n v="310"/>
    <x v="34"/>
    <s v="2026-01-13 18:02:00"/>
    <n v="1499"/>
    <s v="Card"/>
    <x v="0"/>
    <n v="86"/>
  </r>
  <r>
    <s v="TXN100308"/>
    <n v="228"/>
    <x v="32"/>
    <s v="2026-01-15 11:23:00"/>
    <n v="49"/>
    <s v="UPI"/>
    <x v="0"/>
    <n v="73"/>
  </r>
  <r>
    <s v="TXN100309"/>
    <n v="204"/>
    <x v="17"/>
    <s v="2026-01-05 16:23:00"/>
    <n v="499"/>
    <s v="UPI"/>
    <x v="0"/>
    <n v="83"/>
  </r>
  <r>
    <s v="TXN100310"/>
    <n v="14"/>
    <x v="9"/>
    <s v="2026-01-09 07:07:00"/>
    <n v="799"/>
    <s v="Netbanking"/>
    <x v="0"/>
    <n v="63"/>
  </r>
  <r>
    <s v="TXN100311"/>
    <n v="288"/>
    <x v="30"/>
    <s v="2026-01-17 12:58:00"/>
    <n v="49"/>
    <s v="UPI"/>
    <x v="0"/>
    <n v="33"/>
  </r>
  <r>
    <s v="TXN100312"/>
    <n v="229"/>
    <x v="16"/>
    <s v="2026-01-25 08:45:00"/>
    <n v="1499"/>
    <s v="UPI"/>
    <x v="0"/>
    <n v="78"/>
  </r>
  <r>
    <s v="TXN100313"/>
    <n v="252"/>
    <x v="6"/>
    <s v="2026-01-10 22:58:00"/>
    <n v="99"/>
    <s v="Wallet"/>
    <x v="0"/>
    <n v="15"/>
  </r>
  <r>
    <s v="TXN100314"/>
    <n v="89"/>
    <x v="26"/>
    <s v="2026-01-05 02:28:00"/>
    <n v="799"/>
    <s v="UPI"/>
    <x v="0"/>
    <n v="11"/>
  </r>
  <r>
    <s v="TXN100315"/>
    <n v="164"/>
    <x v="5"/>
    <s v="2026-01-26 21:54:00"/>
    <n v="49"/>
    <s v="Netbanking"/>
    <x v="0"/>
    <n v="90"/>
  </r>
  <r>
    <s v="TXN100316"/>
    <n v="149"/>
    <x v="15"/>
    <s v="2026-01-03 17:34:00"/>
    <n v="299"/>
    <s v="Wallet"/>
    <x v="0"/>
    <n v="20"/>
  </r>
  <r>
    <s v="TXN100317"/>
    <n v="327"/>
    <x v="9"/>
    <s v="2026-01-23 22:59:00"/>
    <n v="49"/>
    <s v="Netbanking"/>
    <x v="0"/>
    <n v="46"/>
  </r>
  <r>
    <s v="TXN100318"/>
    <n v="103"/>
    <x v="39"/>
    <s v="2026-01-17 07:07:00"/>
    <n v="149"/>
    <s v="UPI"/>
    <x v="0"/>
    <n v="30"/>
  </r>
  <r>
    <s v="TXN100319"/>
    <n v="185"/>
    <x v="25"/>
    <s v="2026-01-26 15:01:00"/>
    <n v="49"/>
    <s v="Wallet"/>
    <x v="0"/>
    <n v="73"/>
  </r>
  <r>
    <s v="TXN100320"/>
    <n v="283"/>
    <x v="39"/>
    <s v="2026-01-12 14:51:00"/>
    <n v="299"/>
    <s v="UPI"/>
    <x v="0"/>
    <n v="78"/>
  </r>
  <r>
    <s v="TXN100321"/>
    <n v="159"/>
    <x v="22"/>
    <s v="2026-01-29 02:04:00"/>
    <n v="99"/>
    <s v="UPI"/>
    <x v="0"/>
    <n v="91"/>
  </r>
  <r>
    <s v="TXN100322"/>
    <n v="211"/>
    <x v="1"/>
    <s v="2026-01-24 15:33:00"/>
    <n v="99"/>
    <s v="Wallet"/>
    <x v="0"/>
    <n v="73"/>
  </r>
  <r>
    <s v="TXN100323"/>
    <n v="329"/>
    <x v="32"/>
    <s v="2026-01-03 04:20:00"/>
    <n v="499"/>
    <s v="Netbanking"/>
    <x v="0"/>
    <n v="57"/>
  </r>
  <r>
    <s v="TXN100324"/>
    <n v="177"/>
    <x v="39"/>
    <s v="2026-01-15 21:33:00"/>
    <n v="99"/>
    <s v="UPI"/>
    <x v="0"/>
    <n v="99"/>
  </r>
  <r>
    <s v="TXN100325"/>
    <n v="94"/>
    <x v="39"/>
    <s v="2026-01-18 20:37:00"/>
    <n v="299"/>
    <s v="UPI"/>
    <x v="0"/>
    <n v="55"/>
  </r>
  <r>
    <s v="TXN100326"/>
    <n v="64"/>
    <x v="36"/>
    <s v="2026-01-17 01:53:00"/>
    <n v="299"/>
    <s v="UPI"/>
    <x v="0"/>
    <n v="19"/>
  </r>
  <r>
    <s v="TXN100327"/>
    <n v="166"/>
    <x v="19"/>
    <s v="2026-01-10 05:10:00"/>
    <n v="49"/>
    <s v="UPI"/>
    <x v="0"/>
    <n v="44"/>
  </r>
  <r>
    <s v="TXN100328"/>
    <n v="41"/>
    <x v="28"/>
    <s v="2026-01-17 09:54:00"/>
    <n v="299"/>
    <s v="Wallet"/>
    <x v="0"/>
    <n v="25"/>
  </r>
  <r>
    <s v="TXN100329"/>
    <n v="65"/>
    <x v="15"/>
    <s v="2026-01-21 17:17:00"/>
    <n v="99"/>
    <s v="Card"/>
    <x v="0"/>
    <n v="78"/>
  </r>
  <r>
    <s v="TXN100330"/>
    <n v="329"/>
    <x v="2"/>
    <s v="2026-01-18 02:32:00"/>
    <n v="499"/>
    <s v="UPI"/>
    <x v="0"/>
    <n v="75"/>
  </r>
  <r>
    <s v="TXN100331"/>
    <n v="338"/>
    <x v="12"/>
    <s v="2026-01-19 04:10:00"/>
    <n v="149"/>
    <s v="UPI"/>
    <x v="0"/>
    <n v="92"/>
  </r>
  <r>
    <s v="TXN100332"/>
    <n v="289"/>
    <x v="4"/>
    <s v="2026-01-29 19:21:00"/>
    <n v="49"/>
    <s v="Netbanking"/>
    <x v="0"/>
    <n v="3"/>
  </r>
  <r>
    <s v="TXN100333"/>
    <n v="296"/>
    <x v="28"/>
    <s v="2026-01-03 01:41:00"/>
    <n v="99"/>
    <s v="UPI"/>
    <x v="0"/>
    <n v="83"/>
  </r>
  <r>
    <s v="TXN100334"/>
    <n v="317"/>
    <x v="27"/>
    <s v="2026-01-07 18:26:00"/>
    <n v="499"/>
    <s v="Card"/>
    <x v="0"/>
    <n v="63"/>
  </r>
  <r>
    <s v="TXN100335"/>
    <n v="149"/>
    <x v="15"/>
    <s v="2026-01-29 20:34:00"/>
    <n v="499"/>
    <s v="Card"/>
    <x v="0"/>
    <n v="61"/>
  </r>
  <r>
    <s v="TXN100336"/>
    <n v="153"/>
    <x v="24"/>
    <s v="2026-01-08 21:25:00"/>
    <n v="299"/>
    <s v="UPI"/>
    <x v="0"/>
    <n v="9"/>
  </r>
  <r>
    <s v="TXN100337"/>
    <n v="226"/>
    <x v="1"/>
    <s v="2026-01-23 01:10:00"/>
    <n v="2999"/>
    <s v="UPI"/>
    <x v="2"/>
    <n v="61"/>
  </r>
  <r>
    <s v="TXN100338"/>
    <n v="311"/>
    <x v="34"/>
    <s v="2026-01-15 06:21:00"/>
    <n v="2999"/>
    <s v="UPI"/>
    <x v="0"/>
    <n v="40"/>
  </r>
  <r>
    <s v="TXN100339"/>
    <n v="177"/>
    <x v="22"/>
    <s v="2026-01-28 22:20:00"/>
    <n v="1499"/>
    <s v="UPI"/>
    <x v="0"/>
    <n v="16"/>
  </r>
  <r>
    <s v="TXN100340"/>
    <n v="288"/>
    <x v="23"/>
    <s v="2026-01-25 11:32:00"/>
    <n v="99"/>
    <s v="Netbanking"/>
    <x v="0"/>
    <n v="40"/>
  </r>
  <r>
    <s v="TXN100341"/>
    <n v="137"/>
    <x v="26"/>
    <s v="2026-01-08 14:07:00"/>
    <n v="2999"/>
    <s v="UPI"/>
    <x v="1"/>
    <n v="31"/>
  </r>
  <r>
    <s v="TXN100342"/>
    <n v="149"/>
    <x v="14"/>
    <s v="2026-01-05 03:03:00"/>
    <n v="1499"/>
    <s v="UPI"/>
    <x v="0"/>
    <n v="78"/>
  </r>
  <r>
    <s v="TXN100343"/>
    <n v="82"/>
    <x v="17"/>
    <s v="2026-01-14 07:55:00"/>
    <n v="49"/>
    <s v="Wallet"/>
    <x v="0"/>
    <n v="73"/>
  </r>
  <r>
    <s v="TXN100344"/>
    <n v="82"/>
    <x v="33"/>
    <s v="2026-01-24 10:12:00"/>
    <n v="49"/>
    <s v="UPI"/>
    <x v="0"/>
    <n v="65"/>
  </r>
  <r>
    <s v="TXN100345"/>
    <n v="158"/>
    <x v="33"/>
    <s v="2026-01-15 15:56:00"/>
    <n v="99"/>
    <s v="Wallet"/>
    <x v="0"/>
    <n v="2"/>
  </r>
  <r>
    <s v="TXN100346"/>
    <n v="235"/>
    <x v="0"/>
    <s v="2026-01-03 12:32:00"/>
    <n v="99"/>
    <s v="UPI"/>
    <x v="0"/>
    <n v="27"/>
  </r>
  <r>
    <s v="TXN100347"/>
    <n v="26"/>
    <x v="13"/>
    <s v="2026-01-19 11:03:00"/>
    <n v="99"/>
    <s v="Wallet"/>
    <x v="0"/>
    <n v="63"/>
  </r>
  <r>
    <s v="TXN100348"/>
    <n v="241"/>
    <x v="13"/>
    <s v="2026-01-20 20:43:00"/>
    <n v="299"/>
    <s v="UPI"/>
    <x v="0"/>
    <n v="68"/>
  </r>
  <r>
    <s v="TXN100349"/>
    <n v="69"/>
    <x v="28"/>
    <s v="2026-01-01 03:27:00"/>
    <n v="1499"/>
    <s v="UPI"/>
    <x v="0"/>
    <n v="93"/>
  </r>
  <r>
    <s v="TXN100350"/>
    <n v="24"/>
    <x v="22"/>
    <s v="2026-01-12 12:23:00"/>
    <n v="299"/>
    <s v="Netbanking"/>
    <x v="0"/>
    <n v="6"/>
  </r>
  <r>
    <s v="TXN100351"/>
    <n v="186"/>
    <x v="25"/>
    <s v="2026-01-19 17:12:00"/>
    <n v="4999"/>
    <s v="UPI"/>
    <x v="0"/>
    <n v="36"/>
  </r>
  <r>
    <s v="TXN100352"/>
    <n v="231"/>
    <x v="25"/>
    <s v="2026-01-03 12:32:00"/>
    <n v="149"/>
    <s v="UPI"/>
    <x v="0"/>
    <n v="35"/>
  </r>
  <r>
    <s v="TXN100353"/>
    <n v="313"/>
    <x v="30"/>
    <s v="2026-01-27 19:43:00"/>
    <n v="1499"/>
    <s v="Netbanking"/>
    <x v="0"/>
    <n v="16"/>
  </r>
  <r>
    <s v="TXN100354"/>
    <n v="174"/>
    <x v="25"/>
    <s v="2026-01-04 12:23:00"/>
    <n v="149"/>
    <s v="UPI"/>
    <x v="0"/>
    <n v="46"/>
  </r>
  <r>
    <s v="TXN100355"/>
    <n v="309"/>
    <x v="11"/>
    <s v="2026-01-25 04:12:00"/>
    <n v="99"/>
    <s v="UPI"/>
    <x v="0"/>
    <n v="51"/>
  </r>
  <r>
    <s v="TXN100356"/>
    <n v="20"/>
    <x v="39"/>
    <s v="2026-01-17 01:02:00"/>
    <n v="99"/>
    <s v="UPI"/>
    <x v="0"/>
    <n v="91"/>
  </r>
  <r>
    <s v="TXN100357"/>
    <n v="234"/>
    <x v="34"/>
    <s v="2026-01-11 15:33:00"/>
    <n v="49"/>
    <s v="UPI"/>
    <x v="0"/>
    <n v="77"/>
  </r>
  <r>
    <s v="TXN100358"/>
    <n v="168"/>
    <x v="12"/>
    <s v="2026-01-29 16:08:00"/>
    <n v="149"/>
    <s v="UPI"/>
    <x v="2"/>
    <n v="40"/>
  </r>
  <r>
    <s v="TXN100359"/>
    <n v="154"/>
    <x v="35"/>
    <s v="2026-01-06 12:39:00"/>
    <n v="99"/>
    <s v="Netbanking"/>
    <x v="0"/>
    <n v="43"/>
  </r>
  <r>
    <s v="TXN100360"/>
    <n v="251"/>
    <x v="21"/>
    <s v="2026-01-17 16:34:00"/>
    <n v="49"/>
    <s v="UPI"/>
    <x v="0"/>
    <n v="38"/>
  </r>
  <r>
    <s v="TXN100361"/>
    <n v="170"/>
    <x v="30"/>
    <s v="2026-01-16 00:23:00"/>
    <n v="2999"/>
    <s v="UPI"/>
    <x v="0"/>
    <n v="53"/>
  </r>
  <r>
    <s v="TXN100362"/>
    <n v="323"/>
    <x v="27"/>
    <s v="2026-01-19 09:50:00"/>
    <n v="49"/>
    <s v="Netbanking"/>
    <x v="0"/>
    <n v="76"/>
  </r>
  <r>
    <s v="TXN100363"/>
    <n v="297"/>
    <x v="21"/>
    <s v="2026-01-16 08:41:00"/>
    <n v="2999"/>
    <s v="Wallet"/>
    <x v="0"/>
    <n v="29"/>
  </r>
  <r>
    <s v="TXN100364"/>
    <n v="246"/>
    <x v="2"/>
    <s v="2026-01-24 01:37:00"/>
    <n v="299"/>
    <s v="UPI"/>
    <x v="0"/>
    <n v="67"/>
  </r>
  <r>
    <s v="TXN100365"/>
    <n v="195"/>
    <x v="34"/>
    <s v="2026-01-21 23:39:00"/>
    <n v="99"/>
    <s v="UPI"/>
    <x v="0"/>
    <n v="87"/>
  </r>
  <r>
    <s v="TXN100366"/>
    <n v="57"/>
    <x v="6"/>
    <s v="2026-01-08 01:36:00"/>
    <n v="149"/>
    <s v="UPI"/>
    <x v="0"/>
    <n v="2"/>
  </r>
  <r>
    <s v="TXN100367"/>
    <n v="78"/>
    <x v="1"/>
    <s v="2026-01-15 10:26:00"/>
    <n v="1499"/>
    <s v="Netbanking"/>
    <x v="1"/>
    <n v="88"/>
  </r>
  <r>
    <s v="TXN100368"/>
    <n v="314"/>
    <x v="20"/>
    <s v="2026-01-07 13:32:00"/>
    <n v="49"/>
    <s v="UPI"/>
    <x v="2"/>
    <n v="94"/>
  </r>
  <r>
    <s v="TXN100369"/>
    <n v="71"/>
    <x v="36"/>
    <s v="2026-01-24 01:45:00"/>
    <n v="499"/>
    <s v="UPI"/>
    <x v="0"/>
    <n v="26"/>
  </r>
  <r>
    <s v="TXN100370"/>
    <n v="245"/>
    <x v="36"/>
    <s v="2026-01-18 10:42:00"/>
    <n v="99"/>
    <s v="UPI"/>
    <x v="0"/>
    <n v="48"/>
  </r>
  <r>
    <s v="TXN100371"/>
    <n v="273"/>
    <x v="3"/>
    <s v="2026-01-11 05:29:00"/>
    <n v="299"/>
    <s v="Wallet"/>
    <x v="0"/>
    <n v="69"/>
  </r>
  <r>
    <s v="TXN100372"/>
    <n v="349"/>
    <x v="28"/>
    <s v="2026-01-12 21:49:00"/>
    <n v="1499"/>
    <s v="UPI"/>
    <x v="0"/>
    <n v="78"/>
  </r>
  <r>
    <s v="TXN100373"/>
    <n v="143"/>
    <x v="25"/>
    <s v="2026-01-16 06:15:00"/>
    <n v="1499"/>
    <s v="Netbanking"/>
    <x v="0"/>
    <n v="38"/>
  </r>
  <r>
    <s v="TXN100374"/>
    <n v="148"/>
    <x v="16"/>
    <s v="2026-01-08 09:49:00"/>
    <n v="799"/>
    <s v="Wallet"/>
    <x v="0"/>
    <n v="88"/>
  </r>
  <r>
    <s v="TXN100375"/>
    <n v="246"/>
    <x v="5"/>
    <s v="2026-01-23 15:20:00"/>
    <n v="49"/>
    <s v="UPI"/>
    <x v="0"/>
    <n v="71"/>
  </r>
  <r>
    <s v="TXN100376"/>
    <n v="148"/>
    <x v="30"/>
    <s v="2026-01-30 23:17:00"/>
    <n v="99"/>
    <s v="Wallet"/>
    <x v="0"/>
    <n v="73"/>
  </r>
  <r>
    <s v="TXN100377"/>
    <n v="203"/>
    <x v="5"/>
    <s v="2026-01-22 17:24:00"/>
    <n v="49"/>
    <s v="UPI"/>
    <x v="0"/>
    <n v="98"/>
  </r>
  <r>
    <s v="TXN100378"/>
    <n v="22"/>
    <x v="13"/>
    <s v="2026-01-26 04:18:00"/>
    <n v="49"/>
    <s v="Card"/>
    <x v="0"/>
    <n v="91"/>
  </r>
  <r>
    <s v="TXN100379"/>
    <n v="227"/>
    <x v="28"/>
    <s v="2026-01-03 11:59:00"/>
    <n v="299"/>
    <s v="Wallet"/>
    <x v="0"/>
    <n v="95"/>
  </r>
  <r>
    <s v="TXN100380"/>
    <n v="276"/>
    <x v="7"/>
    <s v="2026-01-16 06:12:00"/>
    <n v="149"/>
    <s v="Wallet"/>
    <x v="0"/>
    <n v="71"/>
  </r>
  <r>
    <s v="TXN100381"/>
    <n v="56"/>
    <x v="12"/>
    <s v="2026-01-23 08:08:00"/>
    <n v="99"/>
    <s v="Card"/>
    <x v="0"/>
    <n v="94"/>
  </r>
  <r>
    <s v="TXN100382"/>
    <n v="26"/>
    <x v="36"/>
    <s v="2026-01-19 07:15:00"/>
    <n v="499"/>
    <s v="Card"/>
    <x v="0"/>
    <n v="28"/>
  </r>
  <r>
    <s v="TXN100383"/>
    <n v="52"/>
    <x v="1"/>
    <s v="2026-01-21 07:03:00"/>
    <n v="499"/>
    <s v="Card"/>
    <x v="0"/>
    <n v="42"/>
  </r>
  <r>
    <s v="TXN100384"/>
    <n v="349"/>
    <x v="39"/>
    <s v="2026-01-23 15:06:00"/>
    <n v="499"/>
    <s v="Wallet"/>
    <x v="0"/>
    <n v="0"/>
  </r>
  <r>
    <s v="TXN100385"/>
    <n v="335"/>
    <x v="20"/>
    <s v="2026-01-18 05:26:00"/>
    <n v="49"/>
    <s v="Card"/>
    <x v="0"/>
    <n v="61"/>
  </r>
  <r>
    <s v="TXN100386"/>
    <n v="148"/>
    <x v="17"/>
    <s v="2026-01-21 06:48:00"/>
    <n v="49"/>
    <s v="Card"/>
    <x v="0"/>
    <n v="36"/>
  </r>
  <r>
    <s v="TXN100387"/>
    <n v="46"/>
    <x v="21"/>
    <s v="2026-01-21 01:58:00"/>
    <n v="99"/>
    <s v="Wallet"/>
    <x v="0"/>
    <n v="29"/>
  </r>
  <r>
    <s v="TXN100388"/>
    <n v="20"/>
    <x v="9"/>
    <s v="2026-01-18 23:46:00"/>
    <n v="799"/>
    <s v="Card"/>
    <x v="0"/>
    <n v="53"/>
  </r>
  <r>
    <s v="TXN100389"/>
    <n v="19"/>
    <x v="22"/>
    <s v="2026-01-29 05:59:00"/>
    <n v="49"/>
    <s v="UPI"/>
    <x v="0"/>
    <n v="100"/>
  </r>
  <r>
    <s v="TXN100390"/>
    <n v="149"/>
    <x v="4"/>
    <s v="2026-01-16 05:59:00"/>
    <n v="4999"/>
    <s v="Wallet"/>
    <x v="0"/>
    <n v="1"/>
  </r>
  <r>
    <s v="TXN100391"/>
    <n v="55"/>
    <x v="3"/>
    <s v="2026-01-10 18:38:00"/>
    <n v="499"/>
    <s v="UPI"/>
    <x v="0"/>
    <n v="36"/>
  </r>
  <r>
    <s v="TXN100392"/>
    <n v="269"/>
    <x v="33"/>
    <s v="2026-01-15 20:34:00"/>
    <n v="49"/>
    <s v="Card"/>
    <x v="0"/>
    <n v="17"/>
  </r>
  <r>
    <s v="TXN100393"/>
    <n v="140"/>
    <x v="6"/>
    <s v="2026-01-28 16:29:00"/>
    <n v="2999"/>
    <s v="UPI"/>
    <x v="0"/>
    <n v="14"/>
  </r>
  <r>
    <s v="TXN100394"/>
    <n v="235"/>
    <x v="28"/>
    <s v="2026-01-11 05:46:00"/>
    <n v="2999"/>
    <s v="UPI"/>
    <x v="0"/>
    <n v="91"/>
  </r>
  <r>
    <s v="TXN100395"/>
    <n v="173"/>
    <x v="13"/>
    <s v="2026-01-06 00:47:00"/>
    <n v="499"/>
    <s v="UPI"/>
    <x v="1"/>
    <n v="72"/>
  </r>
  <r>
    <s v="TXN100396"/>
    <n v="313"/>
    <x v="22"/>
    <s v="2026-01-22 06:11:00"/>
    <n v="499"/>
    <s v="UPI"/>
    <x v="0"/>
    <n v="54"/>
  </r>
  <r>
    <s v="TXN100397"/>
    <n v="206"/>
    <x v="23"/>
    <s v="2026-01-17 10:05:00"/>
    <n v="149"/>
    <s v="Wallet"/>
    <x v="0"/>
    <n v="23"/>
  </r>
  <r>
    <s v="TXN100398"/>
    <n v="128"/>
    <x v="37"/>
    <s v="2026-01-05 15:20:00"/>
    <n v="1499"/>
    <s v="Netbanking"/>
    <x v="0"/>
    <n v="33"/>
  </r>
  <r>
    <s v="TXN100399"/>
    <n v="137"/>
    <x v="3"/>
    <s v="2026-01-13 07:28:00"/>
    <n v="799"/>
    <s v="UPI"/>
    <x v="1"/>
    <n v="38"/>
  </r>
  <r>
    <s v="TXN100400"/>
    <n v="6"/>
    <x v="28"/>
    <s v="2026-01-19 23:36:00"/>
    <n v="49"/>
    <s v="UPI"/>
    <x v="0"/>
    <n v="83"/>
  </r>
  <r>
    <s v="TXN100401"/>
    <n v="32"/>
    <x v="30"/>
    <s v="2026-01-12 22:15:00"/>
    <n v="299"/>
    <s v="Card"/>
    <x v="0"/>
    <n v="59"/>
  </r>
  <r>
    <s v="TXN100402"/>
    <n v="258"/>
    <x v="15"/>
    <s v="2026-01-10 05:25:00"/>
    <n v="149"/>
    <s v="UPI"/>
    <x v="0"/>
    <n v="88"/>
  </r>
  <r>
    <s v="TXN100403"/>
    <n v="152"/>
    <x v="31"/>
    <s v="2026-01-04 20:58:00"/>
    <n v="149"/>
    <s v="UPI"/>
    <x v="2"/>
    <n v="78"/>
  </r>
  <r>
    <s v="TXN100404"/>
    <n v="245"/>
    <x v="34"/>
    <s v="2026-01-08 07:08:00"/>
    <n v="799"/>
    <s v="Wallet"/>
    <x v="0"/>
    <n v="58"/>
  </r>
  <r>
    <s v="TXN100405"/>
    <n v="213"/>
    <x v="25"/>
    <s v="2026-01-24 19:23:00"/>
    <n v="49"/>
    <s v="Wallet"/>
    <x v="0"/>
    <n v="60"/>
  </r>
  <r>
    <s v="TXN100406"/>
    <n v="341"/>
    <x v="16"/>
    <s v="2026-01-25 17:51:00"/>
    <n v="99"/>
    <s v="Netbanking"/>
    <x v="0"/>
    <n v="97"/>
  </r>
  <r>
    <s v="TXN100407"/>
    <n v="306"/>
    <x v="18"/>
    <s v="2026-01-08 21:48:00"/>
    <n v="149"/>
    <s v="Netbanking"/>
    <x v="0"/>
    <n v="67"/>
  </r>
  <r>
    <s v="TXN100408"/>
    <n v="186"/>
    <x v="32"/>
    <s v="2026-01-15 16:45:00"/>
    <n v="499"/>
    <s v="UPI"/>
    <x v="0"/>
    <n v="72"/>
  </r>
  <r>
    <s v="TXN100409"/>
    <n v="281"/>
    <x v="11"/>
    <s v="2026-01-04 01:53:00"/>
    <n v="4999"/>
    <s v="UPI"/>
    <x v="0"/>
    <n v="25"/>
  </r>
  <r>
    <s v="TXN100410"/>
    <n v="85"/>
    <x v="17"/>
    <s v="2026-01-19 17:09:00"/>
    <n v="99"/>
    <s v="UPI"/>
    <x v="0"/>
    <n v="66"/>
  </r>
  <r>
    <s v="TXN100411"/>
    <n v="106"/>
    <x v="35"/>
    <s v="2026-01-15 03:43:00"/>
    <n v="499"/>
    <s v="UPI"/>
    <x v="0"/>
    <n v="62"/>
  </r>
  <r>
    <s v="TXN100412"/>
    <n v="29"/>
    <x v="24"/>
    <s v="2026-01-03 16:28:00"/>
    <n v="149"/>
    <s v="Netbanking"/>
    <x v="0"/>
    <n v="16"/>
  </r>
  <r>
    <s v="TXN100413"/>
    <n v="289"/>
    <x v="29"/>
    <s v="2026-01-17 13:29:00"/>
    <n v="1499"/>
    <s v="Card"/>
    <x v="0"/>
    <n v="71"/>
  </r>
  <r>
    <s v="TXN100414"/>
    <n v="158"/>
    <x v="27"/>
    <s v="2026-01-15 21:51:00"/>
    <n v="1499"/>
    <s v="Card"/>
    <x v="0"/>
    <n v="50"/>
  </r>
  <r>
    <s v="TXN100415"/>
    <n v="112"/>
    <x v="35"/>
    <s v="2026-01-09 00:47:00"/>
    <n v="49"/>
    <s v="UPI"/>
    <x v="0"/>
    <n v="9"/>
  </r>
  <r>
    <s v="TXN100416"/>
    <n v="33"/>
    <x v="8"/>
    <s v="2026-01-02 13:22:00"/>
    <n v="299"/>
    <s v="Card"/>
    <x v="1"/>
    <n v="7"/>
  </r>
  <r>
    <s v="TXN100417"/>
    <n v="242"/>
    <x v="4"/>
    <s v="2026-01-30 02:59:00"/>
    <n v="49"/>
    <s v="UPI"/>
    <x v="0"/>
    <n v="36"/>
  </r>
  <r>
    <s v="TXN100418"/>
    <n v="70"/>
    <x v="1"/>
    <s v="2026-01-14 05:49:00"/>
    <n v="149"/>
    <s v="UPI"/>
    <x v="0"/>
    <n v="47"/>
  </r>
  <r>
    <s v="TXN100419"/>
    <n v="194"/>
    <x v="14"/>
    <s v="2026-01-29 12:28:00"/>
    <n v="49"/>
    <s v="Wallet"/>
    <x v="0"/>
    <n v="10"/>
  </r>
  <r>
    <s v="TXN100420"/>
    <n v="277"/>
    <x v="39"/>
    <s v="2026-01-22 21:55:00"/>
    <n v="799"/>
    <s v="UPI"/>
    <x v="0"/>
    <n v="83"/>
  </r>
  <r>
    <s v="TXN100421"/>
    <n v="92"/>
    <x v="8"/>
    <s v="2026-01-28 11:07:00"/>
    <n v="49"/>
    <s v="UPI"/>
    <x v="0"/>
    <n v="50"/>
  </r>
  <r>
    <s v="TXN100422"/>
    <n v="115"/>
    <x v="37"/>
    <s v="2026-01-17 04:46:00"/>
    <n v="149"/>
    <s v="Wallet"/>
    <x v="0"/>
    <n v="96"/>
  </r>
  <r>
    <s v="TXN100423"/>
    <n v="345"/>
    <x v="8"/>
    <s v="2026-01-01 09:29:00"/>
    <n v="499"/>
    <s v="Card"/>
    <x v="0"/>
    <n v="54"/>
  </r>
  <r>
    <s v="TXN100424"/>
    <n v="118"/>
    <x v="0"/>
    <s v="2026-01-18 12:52:00"/>
    <n v="49"/>
    <s v="UPI"/>
    <x v="0"/>
    <n v="58"/>
  </r>
  <r>
    <s v="TXN100425"/>
    <n v="97"/>
    <x v="30"/>
    <s v="2026-01-12 04:17:00"/>
    <n v="99"/>
    <s v="Netbanking"/>
    <x v="0"/>
    <n v="4"/>
  </r>
  <r>
    <s v="TXN100426"/>
    <n v="315"/>
    <x v="27"/>
    <s v="2026-01-26 21:26:00"/>
    <n v="299"/>
    <s v="Wallet"/>
    <x v="0"/>
    <n v="30"/>
  </r>
  <r>
    <s v="TXN100427"/>
    <n v="305"/>
    <x v="4"/>
    <s v="2026-01-07 02:06:00"/>
    <n v="299"/>
    <s v="UPI"/>
    <x v="0"/>
    <n v="57"/>
  </r>
  <r>
    <s v="TXN100428"/>
    <n v="25"/>
    <x v="0"/>
    <s v="2026-01-20 21:45:00"/>
    <n v="299"/>
    <s v="UPI"/>
    <x v="0"/>
    <n v="94"/>
  </r>
  <r>
    <s v="TXN100429"/>
    <n v="120"/>
    <x v="8"/>
    <s v="2026-01-02 12:28:00"/>
    <n v="49"/>
    <s v="UPI"/>
    <x v="0"/>
    <n v="27"/>
  </r>
  <r>
    <s v="TXN100430"/>
    <n v="258"/>
    <x v="13"/>
    <s v="2026-01-25 01:08:00"/>
    <n v="49"/>
    <s v="Wallet"/>
    <x v="0"/>
    <n v="29"/>
  </r>
  <r>
    <s v="TXN100431"/>
    <n v="164"/>
    <x v="21"/>
    <s v="2026-01-27 23:36:00"/>
    <n v="799"/>
    <s v="UPI"/>
    <x v="0"/>
    <n v="76"/>
  </r>
  <r>
    <s v="TXN100432"/>
    <n v="165"/>
    <x v="0"/>
    <s v="2026-01-25 21:52:00"/>
    <n v="49"/>
    <s v="Wallet"/>
    <x v="0"/>
    <n v="38"/>
  </r>
  <r>
    <s v="TXN100433"/>
    <n v="267"/>
    <x v="19"/>
    <s v="2026-01-29 04:42:00"/>
    <n v="49"/>
    <s v="Netbanking"/>
    <x v="0"/>
    <n v="52"/>
  </r>
  <r>
    <s v="TXN100434"/>
    <n v="286"/>
    <x v="35"/>
    <s v="2026-01-10 08:03:00"/>
    <n v="299"/>
    <s v="Wallet"/>
    <x v="0"/>
    <n v="94"/>
  </r>
  <r>
    <s v="TXN100435"/>
    <n v="348"/>
    <x v="10"/>
    <s v="2026-01-30 05:40:00"/>
    <n v="499"/>
    <s v="Card"/>
    <x v="0"/>
    <n v="71"/>
  </r>
  <r>
    <s v="TXN100436"/>
    <n v="330"/>
    <x v="14"/>
    <s v="2026-01-16 01:22:00"/>
    <n v="799"/>
    <s v="UPI"/>
    <x v="0"/>
    <n v="100"/>
  </r>
  <r>
    <s v="TXN100437"/>
    <n v="214"/>
    <x v="1"/>
    <s v="2026-01-17 10:44:00"/>
    <n v="299"/>
    <s v="Card"/>
    <x v="0"/>
    <n v="19"/>
  </r>
  <r>
    <s v="TXN100438"/>
    <n v="276"/>
    <x v="20"/>
    <s v="2026-01-10 12:11:00"/>
    <n v="499"/>
    <s v="UPI"/>
    <x v="0"/>
    <n v="30"/>
  </r>
  <r>
    <s v="TXN100439"/>
    <n v="74"/>
    <x v="24"/>
    <s v="2026-01-28 07:19:00"/>
    <n v="49"/>
    <s v="UPI"/>
    <x v="0"/>
    <n v="7"/>
  </r>
  <r>
    <s v="TXN100440"/>
    <n v="286"/>
    <x v="36"/>
    <s v="2026-01-18 13:26:00"/>
    <n v="49"/>
    <s v="Card"/>
    <x v="0"/>
    <n v="17"/>
  </r>
  <r>
    <s v="TXN100441"/>
    <n v="105"/>
    <x v="3"/>
    <s v="2026-01-13 07:16:00"/>
    <n v="4999"/>
    <s v="UPI"/>
    <x v="0"/>
    <n v="82"/>
  </r>
  <r>
    <s v="TXN100442"/>
    <n v="190"/>
    <x v="18"/>
    <s v="2026-01-03 14:54:00"/>
    <n v="799"/>
    <s v="Wallet"/>
    <x v="0"/>
    <n v="68"/>
  </r>
  <r>
    <s v="TXN100443"/>
    <n v="138"/>
    <x v="14"/>
    <s v="2026-01-24 06:03:00"/>
    <n v="299"/>
    <s v="Wallet"/>
    <x v="0"/>
    <n v="86"/>
  </r>
  <r>
    <s v="TXN100444"/>
    <n v="38"/>
    <x v="6"/>
    <s v="2026-01-20 19:02:00"/>
    <n v="4999"/>
    <s v="Netbanking"/>
    <x v="0"/>
    <n v="97"/>
  </r>
  <r>
    <s v="TXN100445"/>
    <n v="287"/>
    <x v="16"/>
    <s v="2026-01-19 23:42:00"/>
    <n v="99"/>
    <s v="Wallet"/>
    <x v="0"/>
    <n v="61"/>
  </r>
  <r>
    <s v="TXN100446"/>
    <n v="8"/>
    <x v="16"/>
    <s v="2026-01-07 10:19:00"/>
    <n v="49"/>
    <s v="UPI"/>
    <x v="0"/>
    <n v="24"/>
  </r>
  <r>
    <s v="TXN100447"/>
    <n v="246"/>
    <x v="0"/>
    <s v="2026-01-24 03:47:00"/>
    <n v="1499"/>
    <s v="Wallet"/>
    <x v="0"/>
    <n v="89"/>
  </r>
  <r>
    <s v="TXN100448"/>
    <n v="204"/>
    <x v="0"/>
    <s v="2026-01-20 22:13:00"/>
    <n v="149"/>
    <s v="UPI"/>
    <x v="0"/>
    <n v="70"/>
  </r>
  <r>
    <s v="TXN100449"/>
    <n v="239"/>
    <x v="8"/>
    <s v="2026-01-11 09:24:00"/>
    <n v="4999"/>
    <s v="UPI"/>
    <x v="0"/>
    <n v="83"/>
  </r>
  <r>
    <s v="TXN100450"/>
    <n v="185"/>
    <x v="11"/>
    <s v="2026-01-12 09:16:00"/>
    <n v="299"/>
    <s v="UPI"/>
    <x v="0"/>
    <n v="63"/>
  </r>
  <r>
    <s v="TXN100451"/>
    <n v="241"/>
    <x v="17"/>
    <s v="2026-01-15 03:51:00"/>
    <n v="299"/>
    <s v="Card"/>
    <x v="0"/>
    <n v="26"/>
  </r>
  <r>
    <s v="TXN100452"/>
    <n v="24"/>
    <x v="21"/>
    <s v="2026-01-12 10:26:00"/>
    <n v="149"/>
    <s v="UPI"/>
    <x v="0"/>
    <n v="28"/>
  </r>
  <r>
    <s v="TXN100453"/>
    <n v="134"/>
    <x v="25"/>
    <s v="2026-01-24 04:01:00"/>
    <n v="1499"/>
    <s v="UPI"/>
    <x v="0"/>
    <n v="74"/>
  </r>
  <r>
    <s v="TXN100454"/>
    <n v="152"/>
    <x v="34"/>
    <s v="2026-01-19 23:26:00"/>
    <n v="499"/>
    <s v="Wallet"/>
    <x v="0"/>
    <n v="25"/>
  </r>
  <r>
    <s v="TXN100455"/>
    <n v="292"/>
    <x v="0"/>
    <s v="2026-01-11 07:24:00"/>
    <n v="499"/>
    <s v="Netbanking"/>
    <x v="0"/>
    <n v="63"/>
  </r>
  <r>
    <s v="TXN100456"/>
    <n v="173"/>
    <x v="28"/>
    <s v="2026-01-18 20:43:00"/>
    <n v="99"/>
    <s v="Netbanking"/>
    <x v="0"/>
    <n v="97"/>
  </r>
  <r>
    <s v="TXN100457"/>
    <n v="329"/>
    <x v="33"/>
    <s v="2026-01-27 15:46:00"/>
    <n v="1499"/>
    <s v="UPI"/>
    <x v="0"/>
    <n v="58"/>
  </r>
  <r>
    <s v="TXN100458"/>
    <n v="181"/>
    <x v="2"/>
    <s v="2026-01-06 23:50:00"/>
    <n v="1499"/>
    <s v="UPI"/>
    <x v="0"/>
    <n v="17"/>
  </r>
  <r>
    <s v="TXN100459"/>
    <n v="95"/>
    <x v="8"/>
    <s v="2026-01-24 17:31:00"/>
    <n v="149"/>
    <s v="Wallet"/>
    <x v="0"/>
    <n v="82"/>
  </r>
  <r>
    <s v="TXN100460"/>
    <n v="39"/>
    <x v="29"/>
    <s v="2026-01-02 16:02:00"/>
    <n v="149"/>
    <s v="Netbanking"/>
    <x v="0"/>
    <n v="97"/>
  </r>
  <r>
    <s v="TXN100461"/>
    <n v="323"/>
    <x v="19"/>
    <s v="2026-01-01 13:08:00"/>
    <n v="499"/>
    <s v="UPI"/>
    <x v="0"/>
    <n v="8"/>
  </r>
  <r>
    <s v="TXN100462"/>
    <n v="112"/>
    <x v="11"/>
    <s v="2026-01-23 04:00:00"/>
    <n v="49"/>
    <s v="Netbanking"/>
    <x v="0"/>
    <n v="58"/>
  </r>
  <r>
    <s v="TXN100463"/>
    <n v="327"/>
    <x v="12"/>
    <s v="2026-01-12 01:39:00"/>
    <n v="99"/>
    <s v="UPI"/>
    <x v="0"/>
    <n v="61"/>
  </r>
  <r>
    <s v="TXN100464"/>
    <n v="4"/>
    <x v="8"/>
    <s v="2026-01-22 15:01:00"/>
    <n v="299"/>
    <s v="UPI"/>
    <x v="0"/>
    <n v="70"/>
  </r>
  <r>
    <s v="TXN100465"/>
    <n v="272"/>
    <x v="7"/>
    <s v="2026-01-14 00:01:00"/>
    <n v="149"/>
    <s v="UPI"/>
    <x v="0"/>
    <n v="68"/>
  </r>
  <r>
    <s v="TXN100466"/>
    <n v="346"/>
    <x v="10"/>
    <s v="2026-01-10 00:32:00"/>
    <n v="499"/>
    <s v="UPI"/>
    <x v="0"/>
    <n v="22"/>
  </r>
  <r>
    <s v="TXN100467"/>
    <n v="77"/>
    <x v="0"/>
    <s v="2026-01-04 03:33:00"/>
    <n v="49"/>
    <s v="Wallet"/>
    <x v="0"/>
    <n v="24"/>
  </r>
  <r>
    <s v="TXN100468"/>
    <n v="182"/>
    <x v="7"/>
    <s v="2026-01-20 16:16:00"/>
    <n v="149"/>
    <s v="Card"/>
    <x v="0"/>
    <n v="50"/>
  </r>
  <r>
    <s v="TXN100469"/>
    <n v="236"/>
    <x v="21"/>
    <s v="2026-01-03 11:25:00"/>
    <n v="299"/>
    <s v="Card"/>
    <x v="0"/>
    <n v="31"/>
  </r>
  <r>
    <s v="TXN100470"/>
    <n v="42"/>
    <x v="4"/>
    <s v="2026-01-23 07:19:00"/>
    <n v="49"/>
    <s v="UPI"/>
    <x v="0"/>
    <n v="11"/>
  </r>
  <r>
    <s v="TXN100471"/>
    <n v="283"/>
    <x v="20"/>
    <s v="2026-01-13 12:24:00"/>
    <n v="299"/>
    <s v="Netbanking"/>
    <x v="0"/>
    <n v="7"/>
  </r>
  <r>
    <s v="TXN100472"/>
    <n v="88"/>
    <x v="18"/>
    <s v="2026-01-21 00:44:00"/>
    <n v="49"/>
    <s v="UPI"/>
    <x v="0"/>
    <n v="63"/>
  </r>
  <r>
    <s v="TXN100473"/>
    <n v="170"/>
    <x v="21"/>
    <s v="2026-01-28 13:41:00"/>
    <n v="99"/>
    <s v="UPI"/>
    <x v="1"/>
    <n v="12"/>
  </r>
  <r>
    <s v="TXN100474"/>
    <n v="22"/>
    <x v="19"/>
    <s v="2026-01-29 16:58:00"/>
    <n v="49"/>
    <s v="Netbanking"/>
    <x v="0"/>
    <n v="27"/>
  </r>
  <r>
    <s v="TXN100475"/>
    <n v="291"/>
    <x v="20"/>
    <s v="2026-01-29 22:56:00"/>
    <n v="49"/>
    <s v="Netbanking"/>
    <x v="1"/>
    <n v="34"/>
  </r>
  <r>
    <s v="TXN100476"/>
    <n v="144"/>
    <x v="8"/>
    <s v="2026-01-02 02:43:00"/>
    <n v="1499"/>
    <s v="UPI"/>
    <x v="0"/>
    <n v="72"/>
  </r>
  <r>
    <s v="TXN100477"/>
    <n v="162"/>
    <x v="27"/>
    <s v="2026-01-22 01:11:00"/>
    <n v="299"/>
    <s v="Wallet"/>
    <x v="0"/>
    <n v="26"/>
  </r>
  <r>
    <s v="TXN100478"/>
    <n v="204"/>
    <x v="32"/>
    <s v="2026-01-19 04:48:00"/>
    <n v="49"/>
    <s v="UPI"/>
    <x v="0"/>
    <n v="38"/>
  </r>
  <r>
    <s v="TXN100479"/>
    <n v="291"/>
    <x v="14"/>
    <s v="2026-01-06 18:15:00"/>
    <n v="99"/>
    <s v="Wallet"/>
    <x v="0"/>
    <n v="86"/>
  </r>
  <r>
    <s v="TXN100480"/>
    <n v="197"/>
    <x v="39"/>
    <s v="2026-01-29 17:21:00"/>
    <n v="49"/>
    <s v="Wallet"/>
    <x v="1"/>
    <n v="88"/>
  </r>
  <r>
    <s v="TXN100481"/>
    <n v="178"/>
    <x v="29"/>
    <s v="2026-01-24 02:32:00"/>
    <n v="1499"/>
    <s v="UPI"/>
    <x v="0"/>
    <n v="12"/>
  </r>
  <r>
    <s v="TXN100482"/>
    <n v="39"/>
    <x v="3"/>
    <s v="2026-01-14 07:53:00"/>
    <n v="799"/>
    <s v="Netbanking"/>
    <x v="0"/>
    <n v="77"/>
  </r>
  <r>
    <s v="TXN100483"/>
    <n v="204"/>
    <x v="17"/>
    <s v="2026-01-25 19:38:00"/>
    <n v="299"/>
    <s v="Wallet"/>
    <x v="0"/>
    <n v="3"/>
  </r>
  <r>
    <s v="TXN100484"/>
    <n v="231"/>
    <x v="33"/>
    <s v="2026-01-21 08:50:00"/>
    <n v="299"/>
    <s v="UPI"/>
    <x v="0"/>
    <n v="29"/>
  </r>
  <r>
    <s v="TXN100485"/>
    <n v="222"/>
    <x v="9"/>
    <s v="2026-01-12 17:24:00"/>
    <n v="499"/>
    <s v="Wallet"/>
    <x v="1"/>
    <n v="87"/>
  </r>
  <r>
    <s v="TXN100486"/>
    <n v="44"/>
    <x v="12"/>
    <s v="2026-01-19 21:24:00"/>
    <n v="499"/>
    <s v="UPI"/>
    <x v="0"/>
    <n v="37"/>
  </r>
  <r>
    <s v="TXN100487"/>
    <n v="38"/>
    <x v="18"/>
    <s v="2026-01-26 07:45:00"/>
    <n v="49"/>
    <s v="Wallet"/>
    <x v="0"/>
    <n v="34"/>
  </r>
  <r>
    <s v="TXN100488"/>
    <n v="325"/>
    <x v="34"/>
    <s v="2026-01-05 12:45:00"/>
    <n v="49"/>
    <s v="Netbanking"/>
    <x v="2"/>
    <n v="94"/>
  </r>
  <r>
    <s v="TXN100489"/>
    <n v="55"/>
    <x v="18"/>
    <s v="2026-01-13 10:23:00"/>
    <n v="1499"/>
    <s v="Card"/>
    <x v="0"/>
    <n v="0"/>
  </r>
  <r>
    <s v="TXN100490"/>
    <n v="139"/>
    <x v="23"/>
    <s v="2026-01-10 14:23:00"/>
    <n v="499"/>
    <s v="Card"/>
    <x v="0"/>
    <n v="16"/>
  </r>
  <r>
    <s v="TXN100491"/>
    <n v="230"/>
    <x v="25"/>
    <s v="2026-01-03 05:27:00"/>
    <n v="99"/>
    <s v="Wallet"/>
    <x v="0"/>
    <n v="71"/>
  </r>
  <r>
    <s v="TXN100492"/>
    <n v="14"/>
    <x v="18"/>
    <s v="2026-01-17 13:06:00"/>
    <n v="799"/>
    <s v="Card"/>
    <x v="0"/>
    <n v="45"/>
  </r>
  <r>
    <s v="TXN100493"/>
    <n v="307"/>
    <x v="17"/>
    <s v="2026-01-18 02:38:00"/>
    <n v="799"/>
    <s v="UPI"/>
    <x v="0"/>
    <n v="49"/>
  </r>
  <r>
    <s v="TXN100494"/>
    <n v="199"/>
    <x v="18"/>
    <s v="2026-01-01 09:26:00"/>
    <n v="49"/>
    <s v="UPI"/>
    <x v="0"/>
    <n v="92"/>
  </r>
  <r>
    <s v="TXN100495"/>
    <n v="125"/>
    <x v="21"/>
    <s v="2026-01-29 17:57:00"/>
    <n v="149"/>
    <s v="Wallet"/>
    <x v="0"/>
    <n v="66"/>
  </r>
  <r>
    <s v="TXN100496"/>
    <n v="87"/>
    <x v="39"/>
    <s v="2026-01-06 21:24:00"/>
    <n v="149"/>
    <s v="UPI"/>
    <x v="0"/>
    <n v="34"/>
  </r>
  <r>
    <s v="TXN100497"/>
    <n v="75"/>
    <x v="32"/>
    <s v="2026-01-10 08:31:00"/>
    <n v="99"/>
    <s v="UPI"/>
    <x v="0"/>
    <n v="21"/>
  </r>
  <r>
    <s v="TXN100498"/>
    <n v="154"/>
    <x v="20"/>
    <s v="2026-01-14 08:26:00"/>
    <n v="499"/>
    <s v="Wallet"/>
    <x v="0"/>
    <n v="100"/>
  </r>
  <r>
    <s v="TXN100499"/>
    <n v="127"/>
    <x v="33"/>
    <s v="2026-01-03 11:16:00"/>
    <n v="149"/>
    <s v="Card"/>
    <x v="0"/>
    <n v="76"/>
  </r>
  <r>
    <s v="TXN200000"/>
    <n v="351"/>
    <x v="23"/>
    <s v="2026-01-30 06:00:00"/>
    <n v="1999"/>
    <s v="Card"/>
    <x v="2"/>
    <n v="79"/>
  </r>
  <r>
    <s v="TXN200001"/>
    <n v="352"/>
    <x v="12"/>
    <s v="2026-01-11 12:00:00"/>
    <n v="4999"/>
    <s v="Card"/>
    <x v="2"/>
    <n v="95"/>
  </r>
  <r>
    <s v="TXN200002"/>
    <n v="353"/>
    <x v="10"/>
    <s v="2026-01-21 14:00:00"/>
    <n v="1999"/>
    <s v="Card"/>
    <x v="2"/>
    <n v="79"/>
  </r>
  <r>
    <s v="TXN200003"/>
    <n v="354"/>
    <x v="6"/>
    <s v="2026-01-21 19:00:00"/>
    <n v="4999"/>
    <s v="Card"/>
    <x v="2"/>
    <n v="80"/>
  </r>
  <r>
    <s v="TXN200004"/>
    <n v="355"/>
    <x v="13"/>
    <s v="2026-01-16 12:00:00"/>
    <n v="4999"/>
    <s v="Card"/>
    <x v="2"/>
    <n v="100"/>
  </r>
  <r>
    <s v="TXN200005"/>
    <n v="356"/>
    <x v="14"/>
    <s v="2026-01-29 07:00:00"/>
    <n v="2999"/>
    <s v="Card"/>
    <x v="2"/>
    <n v="96"/>
  </r>
  <r>
    <s v="TXN200006"/>
    <n v="357"/>
    <x v="21"/>
    <s v="2026-01-23 11:00:00"/>
    <n v="1999"/>
    <s v="Card"/>
    <x v="2"/>
    <n v="88"/>
  </r>
  <r>
    <s v="TXN200007"/>
    <n v="358"/>
    <x v="25"/>
    <s v="2026-01-28 05:00:00"/>
    <n v="999"/>
    <s v="Card"/>
    <x v="2"/>
    <n v="100"/>
  </r>
  <r>
    <s v="TXN200008"/>
    <n v="359"/>
    <x v="26"/>
    <s v="2026-01-25 22:00:00"/>
    <n v="2999"/>
    <s v="Card"/>
    <x v="2"/>
    <n v="96"/>
  </r>
  <r>
    <s v="TXN200009"/>
    <n v="360"/>
    <x v="33"/>
    <s v="2026-01-13 13:00:00"/>
    <n v="1999"/>
    <s v="Card"/>
    <x v="2"/>
    <n v="90"/>
  </r>
  <r>
    <s v="TXN200010"/>
    <n v="361"/>
    <x v="34"/>
    <s v="2026-01-20 07:00:00"/>
    <n v="4999"/>
    <s v="Card"/>
    <x v="2"/>
    <n v="95"/>
  </r>
  <r>
    <s v="TXN200011"/>
    <n v="362"/>
    <x v="38"/>
    <s v="2026-01-23 02:00:00"/>
    <n v="4999"/>
    <s v="Card"/>
    <x v="2"/>
    <n v="88"/>
  </r>
  <r>
    <s v="TXN200012"/>
    <n v="363"/>
    <x v="1"/>
    <s v="2026-01-23 17:00:00"/>
    <n v="999"/>
    <s v="Card"/>
    <x v="2"/>
    <n v="95"/>
  </r>
  <r>
    <s v="TXN200013"/>
    <n v="364"/>
    <x v="38"/>
    <s v="2026-01-22 22:00:00"/>
    <n v="999"/>
    <s v="Card"/>
    <x v="2"/>
    <n v="73"/>
  </r>
  <r>
    <s v="TXN200014"/>
    <n v="365"/>
    <x v="5"/>
    <s v="2026-01-18 21:00:00"/>
    <n v="1999"/>
    <s v="Card"/>
    <x v="2"/>
    <n v="90"/>
  </r>
  <r>
    <s v="TXN300000"/>
    <n v="314"/>
    <x v="22"/>
    <s v="2026-01-02 18:00:00"/>
    <n v="399"/>
    <s v="Card"/>
    <x v="1"/>
    <n v="87"/>
  </r>
  <r>
    <s v="TXN300001"/>
    <n v="314"/>
    <x v="23"/>
    <s v="2026-01-02 18:01:00"/>
    <n v="299"/>
    <s v="Card"/>
    <x v="1"/>
    <n v="66"/>
  </r>
  <r>
    <s v="TXN300002"/>
    <n v="314"/>
    <x v="28"/>
    <s v="2026-01-02 18:02:00"/>
    <n v="299"/>
    <s v="Card"/>
    <x v="1"/>
    <n v="92"/>
  </r>
  <r>
    <s v="TXN300003"/>
    <n v="314"/>
    <x v="36"/>
    <s v="2026-01-02 18:03:00"/>
    <n v="499"/>
    <s v="Card"/>
    <x v="0"/>
    <n v="74"/>
  </r>
  <r>
    <s v="TXN300004"/>
    <n v="229"/>
    <x v="24"/>
    <s v="2026-01-12 12:00:00"/>
    <n v="499"/>
    <s v="Card"/>
    <x v="1"/>
    <n v="92"/>
  </r>
  <r>
    <s v="TXN300005"/>
    <n v="229"/>
    <x v="34"/>
    <s v="2026-01-12 12:01:00"/>
    <n v="399"/>
    <s v="Card"/>
    <x v="1"/>
    <n v="61"/>
  </r>
  <r>
    <s v="TXN300006"/>
    <n v="229"/>
    <x v="20"/>
    <s v="2026-01-12 12:02:00"/>
    <n v="299"/>
    <s v="Card"/>
    <x v="1"/>
    <n v="78"/>
  </r>
  <r>
    <s v="TXN300007"/>
    <n v="229"/>
    <x v="1"/>
    <s v="2026-01-12 12:03:00"/>
    <n v="299"/>
    <s v="Card"/>
    <x v="0"/>
    <n v="67"/>
  </r>
  <r>
    <s v="TXN300008"/>
    <n v="73"/>
    <x v="3"/>
    <s v="2026-01-12 09:00:00"/>
    <n v="399"/>
    <s v="Card"/>
    <x v="1"/>
    <n v="73"/>
  </r>
  <r>
    <s v="TXN300009"/>
    <n v="73"/>
    <x v="36"/>
    <s v="2026-01-12 09:01:00"/>
    <n v="399"/>
    <s v="Card"/>
    <x v="1"/>
    <n v="82"/>
  </r>
  <r>
    <s v="TXN300010"/>
    <n v="73"/>
    <x v="20"/>
    <s v="2026-01-12 09:02:00"/>
    <n v="299"/>
    <s v="Card"/>
    <x v="1"/>
    <n v="88"/>
  </r>
  <r>
    <s v="TXN300011"/>
    <n v="73"/>
    <x v="26"/>
    <s v="2026-01-12 09:03:00"/>
    <n v="399"/>
    <s v="Card"/>
    <x v="0"/>
    <n v="64"/>
  </r>
  <r>
    <s v="TXN300012"/>
    <n v="154"/>
    <x v="30"/>
    <s v="2026-01-02 22:00:00"/>
    <n v="299"/>
    <s v="Card"/>
    <x v="1"/>
    <n v="81"/>
  </r>
  <r>
    <s v="TXN300013"/>
    <n v="154"/>
    <x v="23"/>
    <s v="2026-01-02 22:01:00"/>
    <n v="499"/>
    <s v="Card"/>
    <x v="1"/>
    <n v="70"/>
  </r>
  <r>
    <s v="TXN300014"/>
    <n v="154"/>
    <x v="0"/>
    <s v="2026-01-02 22:02:00"/>
    <n v="499"/>
    <s v="Card"/>
    <x v="1"/>
    <n v="71"/>
  </r>
  <r>
    <s v="TXN300015"/>
    <n v="154"/>
    <x v="25"/>
    <s v="2026-01-02 22:03:00"/>
    <n v="299"/>
    <s v="Card"/>
    <x v="0"/>
    <n v="81"/>
  </r>
  <r>
    <s v="TXN300016"/>
    <n v="287"/>
    <x v="19"/>
    <s v="2026-01-14 14:00:00"/>
    <n v="399"/>
    <s v="Card"/>
    <x v="1"/>
    <n v="71"/>
  </r>
  <r>
    <s v="TXN300017"/>
    <n v="287"/>
    <x v="9"/>
    <s v="2026-01-14 14:01:00"/>
    <n v="499"/>
    <s v="Card"/>
    <x v="1"/>
    <n v="87"/>
  </r>
  <r>
    <s v="TXN300018"/>
    <n v="287"/>
    <x v="22"/>
    <s v="2026-01-14 14:02:00"/>
    <n v="299"/>
    <s v="Card"/>
    <x v="1"/>
    <n v="72"/>
  </r>
  <r>
    <s v="TXN300019"/>
    <n v="287"/>
    <x v="26"/>
    <s v="2026-01-14 14:03:00"/>
    <n v="499"/>
    <s v="Card"/>
    <x v="0"/>
    <n v="87"/>
  </r>
  <r>
    <s v="TXN300020"/>
    <n v="200"/>
    <x v="16"/>
    <s v="2026-01-01 22:00:00"/>
    <n v="299"/>
    <s v="Card"/>
    <x v="1"/>
    <n v="77"/>
  </r>
  <r>
    <s v="TXN300021"/>
    <n v="200"/>
    <x v="32"/>
    <s v="2026-01-01 22:01:00"/>
    <n v="499"/>
    <s v="Card"/>
    <x v="1"/>
    <n v="66"/>
  </r>
  <r>
    <s v="TXN300022"/>
    <n v="200"/>
    <x v="8"/>
    <s v="2026-01-01 22:02:00"/>
    <n v="299"/>
    <s v="Card"/>
    <x v="1"/>
    <n v="83"/>
  </r>
  <r>
    <s v="TXN300023"/>
    <n v="200"/>
    <x v="17"/>
    <s v="2026-01-01 22:03:00"/>
    <n v="299"/>
    <s v="Card"/>
    <x v="0"/>
    <n v="89"/>
  </r>
  <r>
    <s v="TXN300024"/>
    <n v="59"/>
    <x v="33"/>
    <s v="2026-01-09 21:00:00"/>
    <n v="499"/>
    <s v="Card"/>
    <x v="1"/>
    <n v="80"/>
  </r>
  <r>
    <s v="TXN300025"/>
    <n v="59"/>
    <x v="38"/>
    <s v="2026-01-09 21:01:00"/>
    <n v="399"/>
    <s v="Card"/>
    <x v="1"/>
    <n v="85"/>
  </r>
  <r>
    <s v="TXN300026"/>
    <n v="59"/>
    <x v="35"/>
    <s v="2026-01-09 21:02:00"/>
    <n v="299"/>
    <s v="Card"/>
    <x v="1"/>
    <n v="82"/>
  </r>
  <r>
    <s v="TXN300027"/>
    <n v="59"/>
    <x v="5"/>
    <s v="2026-01-09 21:03:00"/>
    <n v="399"/>
    <s v="Card"/>
    <x v="0"/>
    <n v="71"/>
  </r>
  <r>
    <s v="TXN300028"/>
    <n v="345"/>
    <x v="12"/>
    <s v="2026-01-23 09:00:00"/>
    <n v="499"/>
    <s v="Card"/>
    <x v="1"/>
    <n v="65"/>
  </r>
  <r>
    <s v="TXN300029"/>
    <n v="345"/>
    <x v="39"/>
    <s v="2026-01-23 09:01:00"/>
    <n v="399"/>
    <s v="Card"/>
    <x v="1"/>
    <n v="67"/>
  </r>
  <r>
    <s v="TXN300030"/>
    <n v="345"/>
    <x v="0"/>
    <s v="2026-01-23 09:02:00"/>
    <n v="399"/>
    <s v="Card"/>
    <x v="1"/>
    <n v="67"/>
  </r>
  <r>
    <s v="TXN300031"/>
    <n v="345"/>
    <x v="9"/>
    <s v="2026-01-23 09:03:00"/>
    <n v="399"/>
    <s v="Card"/>
    <x v="0"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4051D-C027-43A7-9940-D4A71C6A5C07}" name="MerchantStatu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46" firstHeaderRow="1" firstDataRow="3" firstDataCol="1"/>
  <pivotFields count="8">
    <pivotField dataField="1" showAll="0"/>
    <pivotField showAll="0"/>
    <pivotField axis="axisRow"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2">
    <field x="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Total Amount (INR)" fld="4" baseField="0" baseItem="0"/>
    <dataField name="Txn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8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3">
      <c r="A3" s="4">
        <v>2</v>
      </c>
      <c r="B3" s="5" t="s">
        <v>7</v>
      </c>
      <c r="C3" s="5" t="s">
        <v>8</v>
      </c>
      <c r="D3" s="5" t="s">
        <v>9</v>
      </c>
    </row>
    <row r="4" spans="1:4" x14ac:dyDescent="0.3">
      <c r="A4" s="2">
        <v>3</v>
      </c>
      <c r="B4" s="3" t="s">
        <v>10</v>
      </c>
      <c r="C4" s="3" t="s">
        <v>8</v>
      </c>
      <c r="D4" s="3" t="s">
        <v>11</v>
      </c>
    </row>
    <row r="5" spans="1:4" x14ac:dyDescent="0.3">
      <c r="A5" s="4">
        <v>4</v>
      </c>
      <c r="B5" s="5" t="s">
        <v>12</v>
      </c>
      <c r="C5" s="5" t="s">
        <v>5</v>
      </c>
      <c r="D5" s="5" t="s">
        <v>11</v>
      </c>
    </row>
    <row r="6" spans="1:4" x14ac:dyDescent="0.3">
      <c r="A6" s="2">
        <v>5</v>
      </c>
      <c r="B6" s="3" t="s">
        <v>13</v>
      </c>
      <c r="C6" s="3" t="s">
        <v>14</v>
      </c>
      <c r="D6" s="3" t="s">
        <v>6</v>
      </c>
    </row>
    <row r="7" spans="1:4" x14ac:dyDescent="0.3">
      <c r="A7" s="4">
        <v>6</v>
      </c>
      <c r="B7" s="5" t="s">
        <v>15</v>
      </c>
      <c r="C7" s="5" t="s">
        <v>16</v>
      </c>
      <c r="D7" s="5" t="s">
        <v>6</v>
      </c>
    </row>
    <row r="8" spans="1:4" x14ac:dyDescent="0.3">
      <c r="A8" s="2">
        <v>7</v>
      </c>
      <c r="B8" s="3" t="s">
        <v>17</v>
      </c>
      <c r="C8" s="3" t="s">
        <v>16</v>
      </c>
      <c r="D8" s="3" t="s">
        <v>11</v>
      </c>
    </row>
    <row r="9" spans="1:4" x14ac:dyDescent="0.3">
      <c r="A9" s="4">
        <v>8</v>
      </c>
      <c r="B9" s="5" t="s">
        <v>18</v>
      </c>
      <c r="C9" s="5" t="s">
        <v>16</v>
      </c>
      <c r="D9" s="5" t="s">
        <v>19</v>
      </c>
    </row>
    <row r="10" spans="1:4" x14ac:dyDescent="0.3">
      <c r="A10" s="2">
        <v>9</v>
      </c>
      <c r="B10" s="3" t="s">
        <v>20</v>
      </c>
      <c r="C10" s="3" t="s">
        <v>5</v>
      </c>
      <c r="D10" s="3" t="s">
        <v>19</v>
      </c>
    </row>
    <row r="11" spans="1:4" x14ac:dyDescent="0.3">
      <c r="A11" s="4">
        <v>10</v>
      </c>
      <c r="B11" s="5" t="s">
        <v>21</v>
      </c>
      <c r="C11" s="5" t="s">
        <v>8</v>
      </c>
      <c r="D11" s="5" t="s">
        <v>9</v>
      </c>
    </row>
    <row r="12" spans="1:4" x14ac:dyDescent="0.3">
      <c r="A12" s="2">
        <v>11</v>
      </c>
      <c r="B12" s="3" t="s">
        <v>22</v>
      </c>
      <c r="C12" s="3" t="s">
        <v>5</v>
      </c>
      <c r="D12" s="3" t="s">
        <v>19</v>
      </c>
    </row>
    <row r="13" spans="1:4" x14ac:dyDescent="0.3">
      <c r="A13" s="4">
        <v>12</v>
      </c>
      <c r="B13" s="5" t="s">
        <v>23</v>
      </c>
      <c r="C13" s="5" t="s">
        <v>5</v>
      </c>
      <c r="D13" s="5" t="s">
        <v>11</v>
      </c>
    </row>
    <row r="14" spans="1:4" x14ac:dyDescent="0.3">
      <c r="A14" s="2">
        <v>13</v>
      </c>
      <c r="B14" s="3" t="s">
        <v>24</v>
      </c>
      <c r="C14" s="3" t="s">
        <v>25</v>
      </c>
      <c r="D14" s="3" t="s">
        <v>11</v>
      </c>
    </row>
    <row r="15" spans="1:4" x14ac:dyDescent="0.3">
      <c r="A15" s="4">
        <v>14</v>
      </c>
      <c r="B15" s="5" t="s">
        <v>26</v>
      </c>
      <c r="C15" s="5" t="s">
        <v>8</v>
      </c>
      <c r="D15" s="5" t="s">
        <v>11</v>
      </c>
    </row>
    <row r="16" spans="1:4" x14ac:dyDescent="0.3">
      <c r="A16" s="2">
        <v>15</v>
      </c>
      <c r="B16" s="3" t="s">
        <v>27</v>
      </c>
      <c r="C16" s="3" t="s">
        <v>25</v>
      </c>
      <c r="D16" s="3" t="s">
        <v>19</v>
      </c>
    </row>
    <row r="17" spans="1:4" x14ac:dyDescent="0.3">
      <c r="A17" s="4">
        <v>16</v>
      </c>
      <c r="B17" s="5" t="s">
        <v>28</v>
      </c>
      <c r="C17" s="5" t="s">
        <v>29</v>
      </c>
      <c r="D17" s="5" t="s">
        <v>9</v>
      </c>
    </row>
    <row r="18" spans="1:4" x14ac:dyDescent="0.3">
      <c r="A18" s="2">
        <v>17</v>
      </c>
      <c r="B18" s="3" t="s">
        <v>30</v>
      </c>
      <c r="C18" s="3" t="s">
        <v>8</v>
      </c>
      <c r="D18" s="3" t="s">
        <v>19</v>
      </c>
    </row>
    <row r="19" spans="1:4" x14ac:dyDescent="0.3">
      <c r="A19" s="4">
        <v>18</v>
      </c>
      <c r="B19" s="5" t="s">
        <v>31</v>
      </c>
      <c r="C19" s="5" t="s">
        <v>8</v>
      </c>
      <c r="D19" s="5" t="s">
        <v>9</v>
      </c>
    </row>
    <row r="20" spans="1:4" x14ac:dyDescent="0.3">
      <c r="A20" s="2">
        <v>19</v>
      </c>
      <c r="B20" s="3" t="s">
        <v>32</v>
      </c>
      <c r="C20" s="3" t="s">
        <v>8</v>
      </c>
      <c r="D20" s="3" t="s">
        <v>19</v>
      </c>
    </row>
    <row r="21" spans="1:4" x14ac:dyDescent="0.3">
      <c r="A21" s="4">
        <v>20</v>
      </c>
      <c r="B21" s="5" t="s">
        <v>33</v>
      </c>
      <c r="C21" s="5" t="s">
        <v>16</v>
      </c>
      <c r="D21" s="5" t="s">
        <v>11</v>
      </c>
    </row>
    <row r="22" spans="1:4" x14ac:dyDescent="0.3">
      <c r="A22" s="2">
        <v>21</v>
      </c>
      <c r="B22" s="3" t="s">
        <v>34</v>
      </c>
      <c r="C22" s="3" t="s">
        <v>16</v>
      </c>
      <c r="D22" s="3" t="s">
        <v>11</v>
      </c>
    </row>
    <row r="23" spans="1:4" x14ac:dyDescent="0.3">
      <c r="A23" s="4">
        <v>22</v>
      </c>
      <c r="B23" s="5" t="s">
        <v>35</v>
      </c>
      <c r="C23" s="5" t="s">
        <v>25</v>
      </c>
      <c r="D23" s="5" t="s">
        <v>6</v>
      </c>
    </row>
    <row r="24" spans="1:4" x14ac:dyDescent="0.3">
      <c r="A24" s="2">
        <v>23</v>
      </c>
      <c r="B24" s="3" t="s">
        <v>36</v>
      </c>
      <c r="C24" s="3" t="s">
        <v>25</v>
      </c>
      <c r="D24" s="3" t="s">
        <v>19</v>
      </c>
    </row>
    <row r="25" spans="1:4" x14ac:dyDescent="0.3">
      <c r="A25" s="4">
        <v>24</v>
      </c>
      <c r="B25" s="5" t="s">
        <v>37</v>
      </c>
      <c r="C25" s="5" t="s">
        <v>8</v>
      </c>
      <c r="D25" s="5" t="s">
        <v>19</v>
      </c>
    </row>
    <row r="26" spans="1:4" x14ac:dyDescent="0.3">
      <c r="A26" s="2">
        <v>25</v>
      </c>
      <c r="B26" s="3" t="s">
        <v>38</v>
      </c>
      <c r="C26" s="3" t="s">
        <v>25</v>
      </c>
      <c r="D26" s="3" t="s">
        <v>6</v>
      </c>
    </row>
    <row r="27" spans="1:4" x14ac:dyDescent="0.3">
      <c r="A27" s="4">
        <v>26</v>
      </c>
      <c r="B27" s="5" t="s">
        <v>39</v>
      </c>
      <c r="C27" s="5" t="s">
        <v>16</v>
      </c>
      <c r="D27" s="5" t="s">
        <v>11</v>
      </c>
    </row>
    <row r="28" spans="1:4" x14ac:dyDescent="0.3">
      <c r="A28" s="2">
        <v>27</v>
      </c>
      <c r="B28" s="3" t="s">
        <v>40</v>
      </c>
      <c r="C28" s="3" t="s">
        <v>5</v>
      </c>
      <c r="D28" s="3" t="s">
        <v>19</v>
      </c>
    </row>
    <row r="29" spans="1:4" x14ac:dyDescent="0.3">
      <c r="A29" s="4">
        <v>28</v>
      </c>
      <c r="B29" s="5" t="s">
        <v>41</v>
      </c>
      <c r="C29" s="5" t="s">
        <v>5</v>
      </c>
      <c r="D29" s="5" t="s">
        <v>6</v>
      </c>
    </row>
    <row r="30" spans="1:4" x14ac:dyDescent="0.3">
      <c r="A30" s="2">
        <v>29</v>
      </c>
      <c r="B30" s="3" t="s">
        <v>42</v>
      </c>
      <c r="C30" s="3" t="s">
        <v>5</v>
      </c>
      <c r="D30" s="3" t="s">
        <v>19</v>
      </c>
    </row>
    <row r="31" spans="1:4" x14ac:dyDescent="0.3">
      <c r="A31" s="4">
        <v>30</v>
      </c>
      <c r="B31" s="5" t="s">
        <v>43</v>
      </c>
      <c r="C31" s="5" t="s">
        <v>25</v>
      </c>
      <c r="D31" s="5" t="s">
        <v>9</v>
      </c>
    </row>
    <row r="32" spans="1:4" x14ac:dyDescent="0.3">
      <c r="A32" s="2">
        <v>31</v>
      </c>
      <c r="B32" s="3" t="s">
        <v>44</v>
      </c>
      <c r="C32" s="3" t="s">
        <v>29</v>
      </c>
      <c r="D32" s="3" t="s">
        <v>11</v>
      </c>
    </row>
    <row r="33" spans="1:4" x14ac:dyDescent="0.3">
      <c r="A33" s="4">
        <v>32</v>
      </c>
      <c r="B33" s="5" t="s">
        <v>45</v>
      </c>
      <c r="C33" s="5" t="s">
        <v>16</v>
      </c>
      <c r="D33" s="5" t="s">
        <v>9</v>
      </c>
    </row>
    <row r="34" spans="1:4" x14ac:dyDescent="0.3">
      <c r="A34" s="2">
        <v>33</v>
      </c>
      <c r="B34" s="3" t="s">
        <v>46</v>
      </c>
      <c r="C34" s="3" t="s">
        <v>29</v>
      </c>
      <c r="D34" s="3" t="s">
        <v>11</v>
      </c>
    </row>
    <row r="35" spans="1:4" x14ac:dyDescent="0.3">
      <c r="A35" s="4">
        <v>34</v>
      </c>
      <c r="B35" s="5" t="s">
        <v>47</v>
      </c>
      <c r="C35" s="5" t="s">
        <v>25</v>
      </c>
      <c r="D35" s="5" t="s">
        <v>6</v>
      </c>
    </row>
    <row r="36" spans="1:4" x14ac:dyDescent="0.3">
      <c r="A36" s="2">
        <v>35</v>
      </c>
      <c r="B36" s="3" t="s">
        <v>48</v>
      </c>
      <c r="C36" s="3" t="s">
        <v>14</v>
      </c>
      <c r="D36" s="3" t="s">
        <v>11</v>
      </c>
    </row>
    <row r="37" spans="1:4" x14ac:dyDescent="0.3">
      <c r="A37" s="4">
        <v>36</v>
      </c>
      <c r="B37" s="5" t="s">
        <v>49</v>
      </c>
      <c r="C37" s="5" t="s">
        <v>50</v>
      </c>
      <c r="D37" s="5" t="s">
        <v>11</v>
      </c>
    </row>
    <row r="38" spans="1:4" x14ac:dyDescent="0.3">
      <c r="A38" s="2">
        <v>37</v>
      </c>
      <c r="B38" s="3" t="s">
        <v>51</v>
      </c>
      <c r="C38" s="3" t="s">
        <v>50</v>
      </c>
      <c r="D38" s="3" t="s">
        <v>6</v>
      </c>
    </row>
    <row r="39" spans="1:4" x14ac:dyDescent="0.3">
      <c r="A39" s="4">
        <v>38</v>
      </c>
      <c r="B39" s="5" t="s">
        <v>52</v>
      </c>
      <c r="C39" s="5" t="s">
        <v>8</v>
      </c>
      <c r="D39" s="5" t="s">
        <v>11</v>
      </c>
    </row>
    <row r="40" spans="1:4" x14ac:dyDescent="0.3">
      <c r="A40" s="2">
        <v>39</v>
      </c>
      <c r="B40" s="3" t="s">
        <v>53</v>
      </c>
      <c r="C40" s="3" t="s">
        <v>50</v>
      </c>
      <c r="D40" s="3" t="s">
        <v>19</v>
      </c>
    </row>
    <row r="41" spans="1:4" x14ac:dyDescent="0.3">
      <c r="A41" s="4">
        <v>40</v>
      </c>
      <c r="B41" s="5" t="s">
        <v>54</v>
      </c>
      <c r="C41" s="5" t="s">
        <v>50</v>
      </c>
      <c r="D41" s="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9" customWidth="1"/>
    <col min="3" max="3" width="13" customWidth="1"/>
    <col min="4" max="4" width="22" customWidth="1"/>
    <col min="5" max="5" width="12" customWidth="1"/>
    <col min="6" max="6" width="16" customWidth="1"/>
    <col min="7" max="8" width="12" customWidth="1"/>
    <col min="9" max="9" width="22" customWidth="1"/>
    <col min="10" max="10" width="18" customWidth="1"/>
    <col min="11" max="11" width="14" customWidth="1"/>
    <col min="12" max="12" width="26" customWidth="1"/>
  </cols>
  <sheetData>
    <row r="1" spans="1:14" ht="28.05" customHeight="1" x14ac:dyDescent="0.3">
      <c r="A1" s="6" t="s">
        <v>55</v>
      </c>
      <c r="B1" s="6" t="s">
        <v>56</v>
      </c>
      <c r="C1" s="6" t="s">
        <v>0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7" t="s">
        <v>62</v>
      </c>
      <c r="J1" s="7" t="s">
        <v>63</v>
      </c>
      <c r="K1" s="7" t="s">
        <v>64</v>
      </c>
      <c r="L1" s="8" t="s">
        <v>65</v>
      </c>
      <c r="N1" s="9" t="s">
        <v>66</v>
      </c>
    </row>
    <row r="2" spans="1:14" x14ac:dyDescent="0.3">
      <c r="A2" s="3" t="s">
        <v>67</v>
      </c>
      <c r="B2" s="2">
        <v>350</v>
      </c>
      <c r="C2" s="2">
        <v>16</v>
      </c>
      <c r="D2" s="2" t="s">
        <v>68</v>
      </c>
      <c r="E2" s="2">
        <v>2999</v>
      </c>
      <c r="F2" s="3" t="s">
        <v>69</v>
      </c>
      <c r="G2" s="3" t="s">
        <v>70</v>
      </c>
      <c r="H2" s="2">
        <v>85</v>
      </c>
      <c r="I2" s="10" t="str">
        <f>IFERROR(VLOOKUP($C2,Merchants!$A$2:$D$41,2,FALSE),"Merchant not found")</f>
        <v>Merchant_016</v>
      </c>
      <c r="J2" s="10" t="str">
        <f>IFERROR(VLOOKUP($C2,Merchants!$A$2:$D$41,3,FALSE),"Merchant not found")</f>
        <v>bill_payment</v>
      </c>
      <c r="K2" s="10" t="str">
        <f>IFERROR(VLOOKUP($C2,Merchants!$A$2:$D$41,4,FALSE),"Merchant not found")</f>
        <v>West</v>
      </c>
      <c r="L2" s="11" t="str">
        <f t="shared" ref="L2:L65" si="0">IF(AND(SUMPRODUCT(($C$2:$C$548=$C2)*(LEFT($D$2:$D$548,10)=LEFT($D2,10))*$E$2:$E$548)&gt;5000,$K2&lt;&gt;"East"),"High-Value Merchant Day","Standard")</f>
        <v>Standard</v>
      </c>
    </row>
    <row r="3" spans="1:14" x14ac:dyDescent="0.3">
      <c r="A3" s="5" t="s">
        <v>71</v>
      </c>
      <c r="B3" s="4">
        <v>287</v>
      </c>
      <c r="C3" s="4">
        <v>27</v>
      </c>
      <c r="D3" s="4" t="s">
        <v>72</v>
      </c>
      <c r="E3" s="4">
        <v>49</v>
      </c>
      <c r="F3" s="5" t="s">
        <v>73</v>
      </c>
      <c r="G3" s="5" t="s">
        <v>70</v>
      </c>
      <c r="H3" s="4">
        <v>79</v>
      </c>
      <c r="I3" s="12" t="str">
        <f>IFERROR(VLOOKUP($C3,Merchants!$A$2:$D$41,2,FALSE),"Merchant not found")</f>
        <v>Merchant_027</v>
      </c>
      <c r="J3" s="12" t="str">
        <f>IFERROR(VLOOKUP($C3,Merchants!$A$2:$D$41,3,FALSE),"Merchant not found")</f>
        <v>ecommerce</v>
      </c>
      <c r="K3" s="12" t="str">
        <f>IFERROR(VLOOKUP($C3,Merchants!$A$2:$D$41,4,FALSE),"Merchant not found")</f>
        <v>North</v>
      </c>
      <c r="L3" s="13" t="str">
        <f t="shared" si="0"/>
        <v>Standard</v>
      </c>
    </row>
    <row r="4" spans="1:14" x14ac:dyDescent="0.3">
      <c r="A4" s="3" t="s">
        <v>74</v>
      </c>
      <c r="B4" s="2">
        <v>122</v>
      </c>
      <c r="C4" s="2">
        <v>11</v>
      </c>
      <c r="D4" s="2" t="s">
        <v>75</v>
      </c>
      <c r="E4" s="2">
        <v>1499</v>
      </c>
      <c r="F4" s="3" t="s">
        <v>69</v>
      </c>
      <c r="G4" s="3" t="s">
        <v>70</v>
      </c>
      <c r="H4" s="2">
        <v>22</v>
      </c>
      <c r="I4" s="10" t="str">
        <f>IFERROR(VLOOKUP($C4,Merchants!$A$2:$D$41,2,FALSE),"Merchant not found")</f>
        <v>Merchant_011</v>
      </c>
      <c r="J4" s="10" t="str">
        <f>IFERROR(VLOOKUP($C4,Merchants!$A$2:$D$41,3,FALSE),"Merchant not found")</f>
        <v>ecommerce</v>
      </c>
      <c r="K4" s="10" t="str">
        <f>IFERROR(VLOOKUP($C4,Merchants!$A$2:$D$41,4,FALSE),"Merchant not found")</f>
        <v>North</v>
      </c>
      <c r="L4" s="11" t="str">
        <f t="shared" si="0"/>
        <v>Standard</v>
      </c>
    </row>
    <row r="5" spans="1:14" x14ac:dyDescent="0.3">
      <c r="A5" s="5" t="s">
        <v>76</v>
      </c>
      <c r="B5" s="4">
        <v>92</v>
      </c>
      <c r="C5" s="4">
        <v>22</v>
      </c>
      <c r="D5" s="4" t="s">
        <v>77</v>
      </c>
      <c r="E5" s="4">
        <v>49</v>
      </c>
      <c r="F5" s="5" t="s">
        <v>78</v>
      </c>
      <c r="G5" s="5" t="s">
        <v>70</v>
      </c>
      <c r="H5" s="4">
        <v>100</v>
      </c>
      <c r="I5" s="12" t="str">
        <f>IFERROR(VLOOKUP($C5,Merchants!$A$2:$D$41,2,FALSE),"Merchant not found")</f>
        <v>Merchant_022</v>
      </c>
      <c r="J5" s="12" t="str">
        <f>IFERROR(VLOOKUP($C5,Merchants!$A$2:$D$41,3,FALSE),"Merchant not found")</f>
        <v>travel</v>
      </c>
      <c r="K5" s="12" t="str">
        <f>IFERROR(VLOOKUP($C5,Merchants!$A$2:$D$41,4,FALSE),"Merchant not found")</f>
        <v>South</v>
      </c>
      <c r="L5" s="13" t="str">
        <f t="shared" si="0"/>
        <v>Standard</v>
      </c>
    </row>
    <row r="6" spans="1:14" x14ac:dyDescent="0.3">
      <c r="A6" s="3" t="s">
        <v>79</v>
      </c>
      <c r="B6" s="2">
        <v>343</v>
      </c>
      <c r="C6" s="2">
        <v>16</v>
      </c>
      <c r="D6" s="2" t="s">
        <v>80</v>
      </c>
      <c r="E6" s="2">
        <v>99</v>
      </c>
      <c r="F6" s="3" t="s">
        <v>73</v>
      </c>
      <c r="G6" s="3" t="s">
        <v>70</v>
      </c>
      <c r="H6" s="2">
        <v>34</v>
      </c>
      <c r="I6" s="10" t="str">
        <f>IFERROR(VLOOKUP($C6,Merchants!$A$2:$D$41,2,FALSE),"Merchant not found")</f>
        <v>Merchant_016</v>
      </c>
      <c r="J6" s="10" t="str">
        <f>IFERROR(VLOOKUP($C6,Merchants!$A$2:$D$41,3,FALSE),"Merchant not found")</f>
        <v>bill_payment</v>
      </c>
      <c r="K6" s="10" t="str">
        <f>IFERROR(VLOOKUP($C6,Merchants!$A$2:$D$41,4,FALSE),"Merchant not found")</f>
        <v>West</v>
      </c>
      <c r="L6" s="11" t="str">
        <f t="shared" si="0"/>
        <v>Standard</v>
      </c>
    </row>
    <row r="7" spans="1:14" x14ac:dyDescent="0.3">
      <c r="A7" s="5" t="s">
        <v>81</v>
      </c>
      <c r="B7" s="4">
        <v>196</v>
      </c>
      <c r="C7" s="4">
        <v>3</v>
      </c>
      <c r="D7" s="4" t="s">
        <v>82</v>
      </c>
      <c r="E7" s="4">
        <v>99</v>
      </c>
      <c r="F7" s="5" t="s">
        <v>73</v>
      </c>
      <c r="G7" s="5" t="s">
        <v>70</v>
      </c>
      <c r="H7" s="4">
        <v>60</v>
      </c>
      <c r="I7" s="12" t="str">
        <f>IFERROR(VLOOKUP($C7,Merchants!$A$2:$D$41,2,FALSE),"Merchant not found")</f>
        <v>Merchant_003</v>
      </c>
      <c r="J7" s="12" t="str">
        <f>IFERROR(VLOOKUP($C7,Merchants!$A$2:$D$41,3,FALSE),"Merchant not found")</f>
        <v>grocery</v>
      </c>
      <c r="K7" s="12" t="str">
        <f>IFERROR(VLOOKUP($C7,Merchants!$A$2:$D$41,4,FALSE),"Merchant not found")</f>
        <v>East</v>
      </c>
      <c r="L7" s="13" t="str">
        <f t="shared" si="0"/>
        <v>Standard</v>
      </c>
    </row>
    <row r="8" spans="1:14" x14ac:dyDescent="0.3">
      <c r="A8" s="3" t="s">
        <v>83</v>
      </c>
      <c r="B8" s="2">
        <v>236</v>
      </c>
      <c r="C8" s="2">
        <v>23</v>
      </c>
      <c r="D8" s="2" t="s">
        <v>84</v>
      </c>
      <c r="E8" s="2">
        <v>99</v>
      </c>
      <c r="F8" s="3" t="s">
        <v>69</v>
      </c>
      <c r="G8" s="3" t="s">
        <v>70</v>
      </c>
      <c r="H8" s="2">
        <v>39</v>
      </c>
      <c r="I8" s="10" t="str">
        <f>IFERROR(VLOOKUP($C8,Merchants!$A$2:$D$41,2,FALSE),"Merchant not found")</f>
        <v>Merchant_023</v>
      </c>
      <c r="J8" s="10" t="str">
        <f>IFERROR(VLOOKUP($C8,Merchants!$A$2:$D$41,3,FALSE),"Merchant not found")</f>
        <v>travel</v>
      </c>
      <c r="K8" s="10" t="str">
        <f>IFERROR(VLOOKUP($C8,Merchants!$A$2:$D$41,4,FALSE),"Merchant not found")</f>
        <v>North</v>
      </c>
      <c r="L8" s="11" t="str">
        <f t="shared" si="0"/>
        <v>Standard</v>
      </c>
    </row>
    <row r="9" spans="1:14" x14ac:dyDescent="0.3">
      <c r="A9" s="5" t="s">
        <v>85</v>
      </c>
      <c r="B9" s="4">
        <v>13</v>
      </c>
      <c r="C9" s="4">
        <v>13</v>
      </c>
      <c r="D9" s="4" t="s">
        <v>86</v>
      </c>
      <c r="E9" s="4">
        <v>99</v>
      </c>
      <c r="F9" s="5" t="s">
        <v>73</v>
      </c>
      <c r="G9" s="5" t="s">
        <v>70</v>
      </c>
      <c r="H9" s="4">
        <v>51</v>
      </c>
      <c r="I9" s="12" t="str">
        <f>IFERROR(VLOOKUP($C9,Merchants!$A$2:$D$41,2,FALSE),"Merchant not found")</f>
        <v>Merchant_013</v>
      </c>
      <c r="J9" s="12" t="str">
        <f>IFERROR(VLOOKUP($C9,Merchants!$A$2:$D$41,3,FALSE),"Merchant not found")</f>
        <v>travel</v>
      </c>
      <c r="K9" s="12" t="str">
        <f>IFERROR(VLOOKUP($C9,Merchants!$A$2:$D$41,4,FALSE),"Merchant not found")</f>
        <v>East</v>
      </c>
      <c r="L9" s="13" t="str">
        <f t="shared" si="0"/>
        <v>Standard</v>
      </c>
    </row>
    <row r="10" spans="1:14" x14ac:dyDescent="0.3">
      <c r="A10" s="3" t="s">
        <v>87</v>
      </c>
      <c r="B10" s="2">
        <v>36</v>
      </c>
      <c r="C10" s="2">
        <v>18</v>
      </c>
      <c r="D10" s="2" t="s">
        <v>88</v>
      </c>
      <c r="E10" s="2">
        <v>799</v>
      </c>
      <c r="F10" s="3" t="s">
        <v>73</v>
      </c>
      <c r="G10" s="3" t="s">
        <v>70</v>
      </c>
      <c r="H10" s="2">
        <v>44</v>
      </c>
      <c r="I10" s="10" t="str">
        <f>IFERROR(VLOOKUP($C10,Merchants!$A$2:$D$41,2,FALSE),"Merchant not found")</f>
        <v>Merchant_018</v>
      </c>
      <c r="J10" s="10" t="str">
        <f>IFERROR(VLOOKUP($C10,Merchants!$A$2:$D$41,3,FALSE),"Merchant not found")</f>
        <v>grocery</v>
      </c>
      <c r="K10" s="10" t="str">
        <f>IFERROR(VLOOKUP($C10,Merchants!$A$2:$D$41,4,FALSE),"Merchant not found")</f>
        <v>West</v>
      </c>
      <c r="L10" s="11" t="str">
        <f t="shared" si="0"/>
        <v>Standard</v>
      </c>
    </row>
    <row r="11" spans="1:14" x14ac:dyDescent="0.3">
      <c r="A11" s="5" t="s">
        <v>89</v>
      </c>
      <c r="B11" s="4">
        <v>348</v>
      </c>
      <c r="C11" s="4">
        <v>35</v>
      </c>
      <c r="D11" s="4" t="s">
        <v>90</v>
      </c>
      <c r="E11" s="4">
        <v>299</v>
      </c>
      <c r="F11" s="5" t="s">
        <v>73</v>
      </c>
      <c r="G11" s="5" t="s">
        <v>70</v>
      </c>
      <c r="H11" s="4">
        <v>42</v>
      </c>
      <c r="I11" s="12" t="str">
        <f>IFERROR(VLOOKUP($C11,Merchants!$A$2:$D$41,2,FALSE),"Merchant not found")</f>
        <v>Merchant_035</v>
      </c>
      <c r="J11" s="12" t="str">
        <f>IFERROR(VLOOKUP($C11,Merchants!$A$2:$D$41,3,FALSE),"Merchant not found")</f>
        <v>recharge</v>
      </c>
      <c r="K11" s="12" t="str">
        <f>IFERROR(VLOOKUP($C11,Merchants!$A$2:$D$41,4,FALSE),"Merchant not found")</f>
        <v>East</v>
      </c>
      <c r="L11" s="13" t="str">
        <f t="shared" si="0"/>
        <v>Standard</v>
      </c>
    </row>
    <row r="12" spans="1:14" x14ac:dyDescent="0.3">
      <c r="A12" s="3" t="s">
        <v>91</v>
      </c>
      <c r="B12" s="2">
        <v>134</v>
      </c>
      <c r="C12" s="2">
        <v>12</v>
      </c>
      <c r="D12" s="2" t="s">
        <v>92</v>
      </c>
      <c r="E12" s="2">
        <v>49</v>
      </c>
      <c r="F12" s="3" t="s">
        <v>73</v>
      </c>
      <c r="G12" s="3" t="s">
        <v>70</v>
      </c>
      <c r="H12" s="2">
        <v>74</v>
      </c>
      <c r="I12" s="10" t="str">
        <f>IFERROR(VLOOKUP($C12,Merchants!$A$2:$D$41,2,FALSE),"Merchant not found")</f>
        <v>Merchant_012</v>
      </c>
      <c r="J12" s="10" t="str">
        <f>IFERROR(VLOOKUP($C12,Merchants!$A$2:$D$41,3,FALSE),"Merchant not found")</f>
        <v>ecommerce</v>
      </c>
      <c r="K12" s="10" t="str">
        <f>IFERROR(VLOOKUP($C12,Merchants!$A$2:$D$41,4,FALSE),"Merchant not found")</f>
        <v>East</v>
      </c>
      <c r="L12" s="11" t="str">
        <f t="shared" si="0"/>
        <v>Standard</v>
      </c>
    </row>
    <row r="13" spans="1:14" x14ac:dyDescent="0.3">
      <c r="A13" s="5" t="s">
        <v>93</v>
      </c>
      <c r="B13" s="4">
        <v>306</v>
      </c>
      <c r="C13" s="4">
        <v>28</v>
      </c>
      <c r="D13" s="4" t="s">
        <v>94</v>
      </c>
      <c r="E13" s="4">
        <v>2999</v>
      </c>
      <c r="F13" s="5" t="s">
        <v>95</v>
      </c>
      <c r="G13" s="5" t="s">
        <v>96</v>
      </c>
      <c r="H13" s="4">
        <v>44</v>
      </c>
      <c r="I13" s="12" t="str">
        <f>IFERROR(VLOOKUP($C13,Merchants!$A$2:$D$41,2,FALSE),"Merchant not found")</f>
        <v>Merchant_028</v>
      </c>
      <c r="J13" s="12" t="str">
        <f>IFERROR(VLOOKUP($C13,Merchants!$A$2:$D$41,3,FALSE),"Merchant not found")</f>
        <v>ecommerce</v>
      </c>
      <c r="K13" s="12" t="str">
        <f>IFERROR(VLOOKUP($C13,Merchants!$A$2:$D$41,4,FALSE),"Merchant not found")</f>
        <v>South</v>
      </c>
      <c r="L13" s="13" t="str">
        <f t="shared" si="0"/>
        <v>Standard</v>
      </c>
    </row>
    <row r="14" spans="1:14" x14ac:dyDescent="0.3">
      <c r="A14" s="3" t="s">
        <v>97</v>
      </c>
      <c r="B14" s="2">
        <v>311</v>
      </c>
      <c r="C14" s="2">
        <v>33</v>
      </c>
      <c r="D14" s="2" t="s">
        <v>98</v>
      </c>
      <c r="E14" s="2">
        <v>49</v>
      </c>
      <c r="F14" s="3" t="s">
        <v>69</v>
      </c>
      <c r="G14" s="3" t="s">
        <v>70</v>
      </c>
      <c r="H14" s="2">
        <v>14</v>
      </c>
      <c r="I14" s="10" t="str">
        <f>IFERROR(VLOOKUP($C14,Merchants!$A$2:$D$41,2,FALSE),"Merchant not found")</f>
        <v>Merchant_033</v>
      </c>
      <c r="J14" s="10" t="str">
        <f>IFERROR(VLOOKUP($C14,Merchants!$A$2:$D$41,3,FALSE),"Merchant not found")</f>
        <v>bill_payment</v>
      </c>
      <c r="K14" s="10" t="str">
        <f>IFERROR(VLOOKUP($C14,Merchants!$A$2:$D$41,4,FALSE),"Merchant not found")</f>
        <v>East</v>
      </c>
      <c r="L14" s="11" t="str">
        <f t="shared" si="0"/>
        <v>Standard</v>
      </c>
    </row>
    <row r="15" spans="1:14" x14ac:dyDescent="0.3">
      <c r="A15" s="5" t="s">
        <v>99</v>
      </c>
      <c r="B15" s="4">
        <v>131</v>
      </c>
      <c r="C15" s="4">
        <v>3</v>
      </c>
      <c r="D15" s="4" t="s">
        <v>100</v>
      </c>
      <c r="E15" s="4">
        <v>49</v>
      </c>
      <c r="F15" s="5" t="s">
        <v>73</v>
      </c>
      <c r="G15" s="5" t="s">
        <v>70</v>
      </c>
      <c r="H15" s="4">
        <v>90</v>
      </c>
      <c r="I15" s="12" t="str">
        <f>IFERROR(VLOOKUP($C15,Merchants!$A$2:$D$41,2,FALSE),"Merchant not found")</f>
        <v>Merchant_003</v>
      </c>
      <c r="J15" s="12" t="str">
        <f>IFERROR(VLOOKUP($C15,Merchants!$A$2:$D$41,3,FALSE),"Merchant not found")</f>
        <v>grocery</v>
      </c>
      <c r="K15" s="12" t="str">
        <f>IFERROR(VLOOKUP($C15,Merchants!$A$2:$D$41,4,FALSE),"Merchant not found")</f>
        <v>East</v>
      </c>
      <c r="L15" s="13" t="str">
        <f t="shared" si="0"/>
        <v>Standard</v>
      </c>
    </row>
    <row r="16" spans="1:14" x14ac:dyDescent="0.3">
      <c r="A16" s="3" t="s">
        <v>101</v>
      </c>
      <c r="B16" s="2">
        <v>276</v>
      </c>
      <c r="C16" s="2">
        <v>13</v>
      </c>
      <c r="D16" s="2" t="s">
        <v>102</v>
      </c>
      <c r="E16" s="2">
        <v>1499</v>
      </c>
      <c r="F16" s="3" t="s">
        <v>73</v>
      </c>
      <c r="G16" s="3" t="s">
        <v>70</v>
      </c>
      <c r="H16" s="2">
        <v>46</v>
      </c>
      <c r="I16" s="10" t="str">
        <f>IFERROR(VLOOKUP($C16,Merchants!$A$2:$D$41,2,FALSE),"Merchant not found")</f>
        <v>Merchant_013</v>
      </c>
      <c r="J16" s="10" t="str">
        <f>IFERROR(VLOOKUP($C16,Merchants!$A$2:$D$41,3,FALSE),"Merchant not found")</f>
        <v>travel</v>
      </c>
      <c r="K16" s="10" t="str">
        <f>IFERROR(VLOOKUP($C16,Merchants!$A$2:$D$41,4,FALSE),"Merchant not found")</f>
        <v>East</v>
      </c>
      <c r="L16" s="11" t="str">
        <f t="shared" si="0"/>
        <v>Standard</v>
      </c>
    </row>
    <row r="17" spans="1:12" x14ac:dyDescent="0.3">
      <c r="A17" s="5" t="s">
        <v>103</v>
      </c>
      <c r="B17" s="4">
        <v>170</v>
      </c>
      <c r="C17" s="4">
        <v>40</v>
      </c>
      <c r="D17" s="4" t="s">
        <v>104</v>
      </c>
      <c r="E17" s="4">
        <v>99</v>
      </c>
      <c r="F17" s="5" t="s">
        <v>73</v>
      </c>
      <c r="G17" s="5" t="s">
        <v>70</v>
      </c>
      <c r="H17" s="4">
        <v>40</v>
      </c>
      <c r="I17" s="12" t="str">
        <f>IFERROR(VLOOKUP($C17,Merchants!$A$2:$D$41,2,FALSE),"Merchant not found")</f>
        <v>Merchant_040</v>
      </c>
      <c r="J17" s="12" t="str">
        <f>IFERROR(VLOOKUP($C17,Merchants!$A$2:$D$41,3,FALSE),"Merchant not found")</f>
        <v>entertainment</v>
      </c>
      <c r="K17" s="12" t="str">
        <f>IFERROR(VLOOKUP($C17,Merchants!$A$2:$D$41,4,FALSE),"Merchant not found")</f>
        <v>South</v>
      </c>
      <c r="L17" s="13" t="str">
        <f t="shared" si="0"/>
        <v>Standard</v>
      </c>
    </row>
    <row r="18" spans="1:12" x14ac:dyDescent="0.3">
      <c r="A18" s="3" t="s">
        <v>105</v>
      </c>
      <c r="B18" s="2">
        <v>154</v>
      </c>
      <c r="C18" s="2">
        <v>33</v>
      </c>
      <c r="D18" s="2" t="s">
        <v>106</v>
      </c>
      <c r="E18" s="2">
        <v>99</v>
      </c>
      <c r="F18" s="3" t="s">
        <v>78</v>
      </c>
      <c r="G18" s="3" t="s">
        <v>70</v>
      </c>
      <c r="H18" s="2">
        <v>39</v>
      </c>
      <c r="I18" s="10" t="str">
        <f>IFERROR(VLOOKUP($C18,Merchants!$A$2:$D$41,2,FALSE),"Merchant not found")</f>
        <v>Merchant_033</v>
      </c>
      <c r="J18" s="10" t="str">
        <f>IFERROR(VLOOKUP($C18,Merchants!$A$2:$D$41,3,FALSE),"Merchant not found")</f>
        <v>bill_payment</v>
      </c>
      <c r="K18" s="10" t="str">
        <f>IFERROR(VLOOKUP($C18,Merchants!$A$2:$D$41,4,FALSE),"Merchant not found")</f>
        <v>East</v>
      </c>
      <c r="L18" s="11" t="str">
        <f t="shared" si="0"/>
        <v>Standard</v>
      </c>
    </row>
    <row r="19" spans="1:12" x14ac:dyDescent="0.3">
      <c r="A19" s="5" t="s">
        <v>107</v>
      </c>
      <c r="B19" s="4">
        <v>207</v>
      </c>
      <c r="C19" s="4">
        <v>19</v>
      </c>
      <c r="D19" s="4" t="s">
        <v>108</v>
      </c>
      <c r="E19" s="4">
        <v>2999</v>
      </c>
      <c r="F19" s="5" t="s">
        <v>95</v>
      </c>
      <c r="G19" s="5" t="s">
        <v>70</v>
      </c>
      <c r="H19" s="4">
        <v>70</v>
      </c>
      <c r="I19" s="12" t="str">
        <f>IFERROR(VLOOKUP($C19,Merchants!$A$2:$D$41,2,FALSE),"Merchant not found")</f>
        <v>Merchant_019</v>
      </c>
      <c r="J19" s="12" t="str">
        <f>IFERROR(VLOOKUP($C19,Merchants!$A$2:$D$41,3,FALSE),"Merchant not found")</f>
        <v>grocery</v>
      </c>
      <c r="K19" s="12" t="str">
        <f>IFERROR(VLOOKUP($C19,Merchants!$A$2:$D$41,4,FALSE),"Merchant not found")</f>
        <v>North</v>
      </c>
      <c r="L19" s="13" t="str">
        <f t="shared" si="0"/>
        <v>Standard</v>
      </c>
    </row>
    <row r="20" spans="1:12" x14ac:dyDescent="0.3">
      <c r="A20" s="3" t="s">
        <v>109</v>
      </c>
      <c r="B20" s="2">
        <v>341</v>
      </c>
      <c r="C20" s="2">
        <v>25</v>
      </c>
      <c r="D20" s="2" t="s">
        <v>110</v>
      </c>
      <c r="E20" s="2">
        <v>2999</v>
      </c>
      <c r="F20" s="3" t="s">
        <v>73</v>
      </c>
      <c r="G20" s="3" t="s">
        <v>70</v>
      </c>
      <c r="H20" s="2">
        <v>86</v>
      </c>
      <c r="I20" s="10" t="str">
        <f>IFERROR(VLOOKUP($C20,Merchants!$A$2:$D$41,2,FALSE),"Merchant not found")</f>
        <v>Merchant_025</v>
      </c>
      <c r="J20" s="10" t="str">
        <f>IFERROR(VLOOKUP($C20,Merchants!$A$2:$D$41,3,FALSE),"Merchant not found")</f>
        <v>travel</v>
      </c>
      <c r="K20" s="10" t="str">
        <f>IFERROR(VLOOKUP($C20,Merchants!$A$2:$D$41,4,FALSE),"Merchant not found")</f>
        <v>South</v>
      </c>
      <c r="L20" s="11" t="str">
        <f t="shared" si="0"/>
        <v>Standard</v>
      </c>
    </row>
    <row r="21" spans="1:12" x14ac:dyDescent="0.3">
      <c r="A21" s="5" t="s">
        <v>111</v>
      </c>
      <c r="B21" s="4">
        <v>292</v>
      </c>
      <c r="C21" s="4">
        <v>20</v>
      </c>
      <c r="D21" s="4" t="s">
        <v>112</v>
      </c>
      <c r="E21" s="4">
        <v>49</v>
      </c>
      <c r="F21" s="5" t="s">
        <v>73</v>
      </c>
      <c r="G21" s="5" t="s">
        <v>70</v>
      </c>
      <c r="H21" s="4">
        <v>51</v>
      </c>
      <c r="I21" s="12" t="str">
        <f>IFERROR(VLOOKUP($C21,Merchants!$A$2:$D$41,2,FALSE),"Merchant not found")</f>
        <v>Merchant_020</v>
      </c>
      <c r="J21" s="12" t="str">
        <f>IFERROR(VLOOKUP($C21,Merchants!$A$2:$D$41,3,FALSE),"Merchant not found")</f>
        <v>food_delivery</v>
      </c>
      <c r="K21" s="12" t="str">
        <f>IFERROR(VLOOKUP($C21,Merchants!$A$2:$D$41,4,FALSE),"Merchant not found")</f>
        <v>East</v>
      </c>
      <c r="L21" s="13" t="str">
        <f t="shared" si="0"/>
        <v>Standard</v>
      </c>
    </row>
    <row r="22" spans="1:12" x14ac:dyDescent="0.3">
      <c r="A22" s="3" t="s">
        <v>113</v>
      </c>
      <c r="B22" s="2">
        <v>147</v>
      </c>
      <c r="C22" s="2">
        <v>14</v>
      </c>
      <c r="D22" s="2" t="s">
        <v>114</v>
      </c>
      <c r="E22" s="2">
        <v>99</v>
      </c>
      <c r="F22" s="3" t="s">
        <v>95</v>
      </c>
      <c r="G22" s="3" t="s">
        <v>70</v>
      </c>
      <c r="H22" s="2">
        <v>55</v>
      </c>
      <c r="I22" s="10" t="str">
        <f>IFERROR(VLOOKUP($C22,Merchants!$A$2:$D$41,2,FALSE),"Merchant not found")</f>
        <v>Merchant_014</v>
      </c>
      <c r="J22" s="10" t="str">
        <f>IFERROR(VLOOKUP($C22,Merchants!$A$2:$D$41,3,FALSE),"Merchant not found")</f>
        <v>grocery</v>
      </c>
      <c r="K22" s="10" t="str">
        <f>IFERROR(VLOOKUP($C22,Merchants!$A$2:$D$41,4,FALSE),"Merchant not found")</f>
        <v>East</v>
      </c>
      <c r="L22" s="11" t="str">
        <f t="shared" si="0"/>
        <v>Standard</v>
      </c>
    </row>
    <row r="23" spans="1:12" x14ac:dyDescent="0.3">
      <c r="A23" s="5" t="s">
        <v>115</v>
      </c>
      <c r="B23" s="4">
        <v>336</v>
      </c>
      <c r="C23" s="4">
        <v>21</v>
      </c>
      <c r="D23" s="4" t="s">
        <v>116</v>
      </c>
      <c r="E23" s="4">
        <v>99</v>
      </c>
      <c r="F23" s="5" t="s">
        <v>73</v>
      </c>
      <c r="G23" s="5" t="s">
        <v>70</v>
      </c>
      <c r="H23" s="4">
        <v>59</v>
      </c>
      <c r="I23" s="12" t="str">
        <f>IFERROR(VLOOKUP($C23,Merchants!$A$2:$D$41,2,FALSE),"Merchant not found")</f>
        <v>Merchant_021</v>
      </c>
      <c r="J23" s="12" t="str">
        <f>IFERROR(VLOOKUP($C23,Merchants!$A$2:$D$41,3,FALSE),"Merchant not found")</f>
        <v>food_delivery</v>
      </c>
      <c r="K23" s="12" t="str">
        <f>IFERROR(VLOOKUP($C23,Merchants!$A$2:$D$41,4,FALSE),"Merchant not found")</f>
        <v>East</v>
      </c>
      <c r="L23" s="13" t="str">
        <f t="shared" si="0"/>
        <v>Standard</v>
      </c>
    </row>
    <row r="24" spans="1:12" x14ac:dyDescent="0.3">
      <c r="A24" s="3" t="s">
        <v>117</v>
      </c>
      <c r="B24" s="2">
        <v>110</v>
      </c>
      <c r="C24" s="2">
        <v>33</v>
      </c>
      <c r="D24" s="2" t="s">
        <v>118</v>
      </c>
      <c r="E24" s="2">
        <v>799</v>
      </c>
      <c r="F24" s="3" t="s">
        <v>73</v>
      </c>
      <c r="G24" s="3" t="s">
        <v>70</v>
      </c>
      <c r="H24" s="2">
        <v>60</v>
      </c>
      <c r="I24" s="10" t="str">
        <f>IFERROR(VLOOKUP($C24,Merchants!$A$2:$D$41,2,FALSE),"Merchant not found")</f>
        <v>Merchant_033</v>
      </c>
      <c r="J24" s="10" t="str">
        <f>IFERROR(VLOOKUP($C24,Merchants!$A$2:$D$41,3,FALSE),"Merchant not found")</f>
        <v>bill_payment</v>
      </c>
      <c r="K24" s="10" t="str">
        <f>IFERROR(VLOOKUP($C24,Merchants!$A$2:$D$41,4,FALSE),"Merchant not found")</f>
        <v>East</v>
      </c>
      <c r="L24" s="11" t="str">
        <f t="shared" si="0"/>
        <v>Standard</v>
      </c>
    </row>
    <row r="25" spans="1:12" x14ac:dyDescent="0.3">
      <c r="A25" s="5" t="s">
        <v>119</v>
      </c>
      <c r="B25" s="4">
        <v>338</v>
      </c>
      <c r="C25" s="4">
        <v>6</v>
      </c>
      <c r="D25" s="4" t="s">
        <v>120</v>
      </c>
      <c r="E25" s="4">
        <v>799</v>
      </c>
      <c r="F25" s="5" t="s">
        <v>73</v>
      </c>
      <c r="G25" s="5" t="s">
        <v>121</v>
      </c>
      <c r="H25" s="4">
        <v>36</v>
      </c>
      <c r="I25" s="12" t="str">
        <f>IFERROR(VLOOKUP($C25,Merchants!$A$2:$D$41,2,FALSE),"Merchant not found")</f>
        <v>Merchant_006</v>
      </c>
      <c r="J25" s="12" t="str">
        <f>IFERROR(VLOOKUP($C25,Merchants!$A$2:$D$41,3,FALSE),"Merchant not found")</f>
        <v>food_delivery</v>
      </c>
      <c r="K25" s="12" t="str">
        <f>IFERROR(VLOOKUP($C25,Merchants!$A$2:$D$41,4,FALSE),"Merchant not found")</f>
        <v>South</v>
      </c>
      <c r="L25" s="13" t="str">
        <f t="shared" si="0"/>
        <v>Standard</v>
      </c>
    </row>
    <row r="26" spans="1:12" x14ac:dyDescent="0.3">
      <c r="A26" s="3" t="s">
        <v>122</v>
      </c>
      <c r="B26" s="2">
        <v>318</v>
      </c>
      <c r="C26" s="2">
        <v>22</v>
      </c>
      <c r="D26" s="2" t="s">
        <v>123</v>
      </c>
      <c r="E26" s="2">
        <v>799</v>
      </c>
      <c r="F26" s="3" t="s">
        <v>69</v>
      </c>
      <c r="G26" s="3" t="s">
        <v>70</v>
      </c>
      <c r="H26" s="2">
        <v>11</v>
      </c>
      <c r="I26" s="10" t="str">
        <f>IFERROR(VLOOKUP($C26,Merchants!$A$2:$D$41,2,FALSE),"Merchant not found")</f>
        <v>Merchant_022</v>
      </c>
      <c r="J26" s="10" t="str">
        <f>IFERROR(VLOOKUP($C26,Merchants!$A$2:$D$41,3,FALSE),"Merchant not found")</f>
        <v>travel</v>
      </c>
      <c r="K26" s="10" t="str">
        <f>IFERROR(VLOOKUP($C26,Merchants!$A$2:$D$41,4,FALSE),"Merchant not found")</f>
        <v>South</v>
      </c>
      <c r="L26" s="11" t="str">
        <f t="shared" si="0"/>
        <v>Standard</v>
      </c>
    </row>
    <row r="27" spans="1:12" x14ac:dyDescent="0.3">
      <c r="A27" s="5" t="s">
        <v>124</v>
      </c>
      <c r="B27" s="4">
        <v>159</v>
      </c>
      <c r="C27" s="4">
        <v>15</v>
      </c>
      <c r="D27" s="4" t="s">
        <v>125</v>
      </c>
      <c r="E27" s="4">
        <v>799</v>
      </c>
      <c r="F27" s="5" t="s">
        <v>73</v>
      </c>
      <c r="G27" s="5" t="s">
        <v>70</v>
      </c>
      <c r="H27" s="4">
        <v>25</v>
      </c>
      <c r="I27" s="12" t="str">
        <f>IFERROR(VLOOKUP($C27,Merchants!$A$2:$D$41,2,FALSE),"Merchant not found")</f>
        <v>Merchant_015</v>
      </c>
      <c r="J27" s="12" t="str">
        <f>IFERROR(VLOOKUP($C27,Merchants!$A$2:$D$41,3,FALSE),"Merchant not found")</f>
        <v>travel</v>
      </c>
      <c r="K27" s="12" t="str">
        <f>IFERROR(VLOOKUP($C27,Merchants!$A$2:$D$41,4,FALSE),"Merchant not found")</f>
        <v>North</v>
      </c>
      <c r="L27" s="13" t="str">
        <f t="shared" si="0"/>
        <v>Standard</v>
      </c>
    </row>
    <row r="28" spans="1:12" x14ac:dyDescent="0.3">
      <c r="A28" s="3" t="s">
        <v>126</v>
      </c>
      <c r="B28" s="2">
        <v>126</v>
      </c>
      <c r="C28" s="2">
        <v>31</v>
      </c>
      <c r="D28" s="2" t="s">
        <v>127</v>
      </c>
      <c r="E28" s="2">
        <v>49</v>
      </c>
      <c r="F28" s="3" t="s">
        <v>95</v>
      </c>
      <c r="G28" s="3" t="s">
        <v>70</v>
      </c>
      <c r="H28" s="2">
        <v>78</v>
      </c>
      <c r="I28" s="10" t="str">
        <f>IFERROR(VLOOKUP($C28,Merchants!$A$2:$D$41,2,FALSE),"Merchant not found")</f>
        <v>Merchant_031</v>
      </c>
      <c r="J28" s="10" t="str">
        <f>IFERROR(VLOOKUP($C28,Merchants!$A$2:$D$41,3,FALSE),"Merchant not found")</f>
        <v>bill_payment</v>
      </c>
      <c r="K28" s="10" t="str">
        <f>IFERROR(VLOOKUP($C28,Merchants!$A$2:$D$41,4,FALSE),"Merchant not found")</f>
        <v>East</v>
      </c>
      <c r="L28" s="11" t="str">
        <f t="shared" si="0"/>
        <v>Standard</v>
      </c>
    </row>
    <row r="29" spans="1:12" x14ac:dyDescent="0.3">
      <c r="A29" s="5" t="s">
        <v>128</v>
      </c>
      <c r="B29" s="4">
        <v>213</v>
      </c>
      <c r="C29" s="4">
        <v>37</v>
      </c>
      <c r="D29" s="4" t="s">
        <v>129</v>
      </c>
      <c r="E29" s="4">
        <v>99</v>
      </c>
      <c r="F29" s="5" t="s">
        <v>73</v>
      </c>
      <c r="G29" s="5" t="s">
        <v>70</v>
      </c>
      <c r="H29" s="4">
        <v>24</v>
      </c>
      <c r="I29" s="12" t="str">
        <f>IFERROR(VLOOKUP($C29,Merchants!$A$2:$D$41,2,FALSE),"Merchant not found")</f>
        <v>Merchant_037</v>
      </c>
      <c r="J29" s="12" t="str">
        <f>IFERROR(VLOOKUP($C29,Merchants!$A$2:$D$41,3,FALSE),"Merchant not found")</f>
        <v>entertainment</v>
      </c>
      <c r="K29" s="12" t="str">
        <f>IFERROR(VLOOKUP($C29,Merchants!$A$2:$D$41,4,FALSE),"Merchant not found")</f>
        <v>South</v>
      </c>
      <c r="L29" s="13" t="str">
        <f t="shared" si="0"/>
        <v>Standard</v>
      </c>
    </row>
    <row r="30" spans="1:12" x14ac:dyDescent="0.3">
      <c r="A30" s="3" t="s">
        <v>130</v>
      </c>
      <c r="B30" s="2">
        <v>254</v>
      </c>
      <c r="C30" s="2">
        <v>26</v>
      </c>
      <c r="D30" s="2" t="s">
        <v>131</v>
      </c>
      <c r="E30" s="2">
        <v>99</v>
      </c>
      <c r="F30" s="3" t="s">
        <v>69</v>
      </c>
      <c r="G30" s="3" t="s">
        <v>70</v>
      </c>
      <c r="H30" s="2">
        <v>31</v>
      </c>
      <c r="I30" s="10" t="str">
        <f>IFERROR(VLOOKUP($C30,Merchants!$A$2:$D$41,2,FALSE),"Merchant not found")</f>
        <v>Merchant_026</v>
      </c>
      <c r="J30" s="10" t="str">
        <f>IFERROR(VLOOKUP($C30,Merchants!$A$2:$D$41,3,FALSE),"Merchant not found")</f>
        <v>food_delivery</v>
      </c>
      <c r="K30" s="10" t="str">
        <f>IFERROR(VLOOKUP($C30,Merchants!$A$2:$D$41,4,FALSE),"Merchant not found")</f>
        <v>East</v>
      </c>
      <c r="L30" s="11" t="str">
        <f t="shared" si="0"/>
        <v>Standard</v>
      </c>
    </row>
    <row r="31" spans="1:12" x14ac:dyDescent="0.3">
      <c r="A31" s="5" t="s">
        <v>132</v>
      </c>
      <c r="B31" s="4">
        <v>3</v>
      </c>
      <c r="C31" s="4">
        <v>7</v>
      </c>
      <c r="D31" s="4" t="s">
        <v>133</v>
      </c>
      <c r="E31" s="4">
        <v>1499</v>
      </c>
      <c r="F31" s="5" t="s">
        <v>73</v>
      </c>
      <c r="G31" s="5" t="s">
        <v>70</v>
      </c>
      <c r="H31" s="4">
        <v>99</v>
      </c>
      <c r="I31" s="12" t="str">
        <f>IFERROR(VLOOKUP($C31,Merchants!$A$2:$D$41,2,FALSE),"Merchant not found")</f>
        <v>Merchant_007</v>
      </c>
      <c r="J31" s="12" t="str">
        <f>IFERROR(VLOOKUP($C31,Merchants!$A$2:$D$41,3,FALSE),"Merchant not found")</f>
        <v>food_delivery</v>
      </c>
      <c r="K31" s="12" t="str">
        <f>IFERROR(VLOOKUP($C31,Merchants!$A$2:$D$41,4,FALSE),"Merchant not found")</f>
        <v>East</v>
      </c>
      <c r="L31" s="13" t="str">
        <f t="shared" si="0"/>
        <v>Standard</v>
      </c>
    </row>
    <row r="32" spans="1:12" x14ac:dyDescent="0.3">
      <c r="A32" s="3" t="s">
        <v>134</v>
      </c>
      <c r="B32" s="2">
        <v>266</v>
      </c>
      <c r="C32" s="2">
        <v>30</v>
      </c>
      <c r="D32" s="2" t="s">
        <v>135</v>
      </c>
      <c r="E32" s="2">
        <v>499</v>
      </c>
      <c r="F32" s="3" t="s">
        <v>95</v>
      </c>
      <c r="G32" s="3" t="s">
        <v>70</v>
      </c>
      <c r="H32" s="2">
        <v>6</v>
      </c>
      <c r="I32" s="10" t="str">
        <f>IFERROR(VLOOKUP($C32,Merchants!$A$2:$D$41,2,FALSE),"Merchant not found")</f>
        <v>Merchant_030</v>
      </c>
      <c r="J32" s="10" t="str">
        <f>IFERROR(VLOOKUP($C32,Merchants!$A$2:$D$41,3,FALSE),"Merchant not found")</f>
        <v>travel</v>
      </c>
      <c r="K32" s="10" t="str">
        <f>IFERROR(VLOOKUP($C32,Merchants!$A$2:$D$41,4,FALSE),"Merchant not found")</f>
        <v>West</v>
      </c>
      <c r="L32" s="11" t="str">
        <f t="shared" si="0"/>
        <v>Standard</v>
      </c>
    </row>
    <row r="33" spans="1:12" x14ac:dyDescent="0.3">
      <c r="A33" s="5" t="s">
        <v>136</v>
      </c>
      <c r="B33" s="4">
        <v>63</v>
      </c>
      <c r="C33" s="4">
        <v>30</v>
      </c>
      <c r="D33" s="4" t="s">
        <v>137</v>
      </c>
      <c r="E33" s="4">
        <v>799</v>
      </c>
      <c r="F33" s="5" t="s">
        <v>73</v>
      </c>
      <c r="G33" s="5" t="s">
        <v>70</v>
      </c>
      <c r="H33" s="4">
        <v>17</v>
      </c>
      <c r="I33" s="12" t="str">
        <f>IFERROR(VLOOKUP($C33,Merchants!$A$2:$D$41,2,FALSE),"Merchant not found")</f>
        <v>Merchant_030</v>
      </c>
      <c r="J33" s="12" t="str">
        <f>IFERROR(VLOOKUP($C33,Merchants!$A$2:$D$41,3,FALSE),"Merchant not found")</f>
        <v>travel</v>
      </c>
      <c r="K33" s="12" t="str">
        <f>IFERROR(VLOOKUP($C33,Merchants!$A$2:$D$41,4,FALSE),"Merchant not found")</f>
        <v>West</v>
      </c>
      <c r="L33" s="13" t="str">
        <f t="shared" si="0"/>
        <v>Standard</v>
      </c>
    </row>
    <row r="34" spans="1:12" x14ac:dyDescent="0.3">
      <c r="A34" s="3" t="s">
        <v>138</v>
      </c>
      <c r="B34" s="2">
        <v>272</v>
      </c>
      <c r="C34" s="2">
        <v>36</v>
      </c>
      <c r="D34" s="2" t="s">
        <v>139</v>
      </c>
      <c r="E34" s="2">
        <v>149</v>
      </c>
      <c r="F34" s="3" t="s">
        <v>73</v>
      </c>
      <c r="G34" s="3" t="s">
        <v>70</v>
      </c>
      <c r="H34" s="2">
        <v>76</v>
      </c>
      <c r="I34" s="10" t="str">
        <f>IFERROR(VLOOKUP($C34,Merchants!$A$2:$D$41,2,FALSE),"Merchant not found")</f>
        <v>Merchant_036</v>
      </c>
      <c r="J34" s="10" t="str">
        <f>IFERROR(VLOOKUP($C34,Merchants!$A$2:$D$41,3,FALSE),"Merchant not found")</f>
        <v>entertainment</v>
      </c>
      <c r="K34" s="10" t="str">
        <f>IFERROR(VLOOKUP($C34,Merchants!$A$2:$D$41,4,FALSE),"Merchant not found")</f>
        <v>East</v>
      </c>
      <c r="L34" s="11" t="str">
        <f t="shared" si="0"/>
        <v>Standard</v>
      </c>
    </row>
    <row r="35" spans="1:12" x14ac:dyDescent="0.3">
      <c r="A35" s="5" t="s">
        <v>140</v>
      </c>
      <c r="B35" s="4">
        <v>259</v>
      </c>
      <c r="C35" s="4">
        <v>28</v>
      </c>
      <c r="D35" s="4" t="s">
        <v>141</v>
      </c>
      <c r="E35" s="4">
        <v>49</v>
      </c>
      <c r="F35" s="5" t="s">
        <v>69</v>
      </c>
      <c r="G35" s="5" t="s">
        <v>70</v>
      </c>
      <c r="H35" s="4">
        <v>70</v>
      </c>
      <c r="I35" s="12" t="str">
        <f>IFERROR(VLOOKUP($C35,Merchants!$A$2:$D$41,2,FALSE),"Merchant not found")</f>
        <v>Merchant_028</v>
      </c>
      <c r="J35" s="12" t="str">
        <f>IFERROR(VLOOKUP($C35,Merchants!$A$2:$D$41,3,FALSE),"Merchant not found")</f>
        <v>ecommerce</v>
      </c>
      <c r="K35" s="12" t="str">
        <f>IFERROR(VLOOKUP($C35,Merchants!$A$2:$D$41,4,FALSE),"Merchant not found")</f>
        <v>South</v>
      </c>
      <c r="L35" s="13" t="str">
        <f t="shared" si="0"/>
        <v>Standard</v>
      </c>
    </row>
    <row r="36" spans="1:12" x14ac:dyDescent="0.3">
      <c r="A36" s="3" t="s">
        <v>142</v>
      </c>
      <c r="B36" s="2">
        <v>244</v>
      </c>
      <c r="C36" s="2">
        <v>29</v>
      </c>
      <c r="D36" s="2" t="s">
        <v>143</v>
      </c>
      <c r="E36" s="2">
        <v>299</v>
      </c>
      <c r="F36" s="3" t="s">
        <v>78</v>
      </c>
      <c r="G36" s="3" t="s">
        <v>70</v>
      </c>
      <c r="H36" s="2">
        <v>33</v>
      </c>
      <c r="I36" s="10" t="str">
        <f>IFERROR(VLOOKUP($C36,Merchants!$A$2:$D$41,2,FALSE),"Merchant not found")</f>
        <v>Merchant_029</v>
      </c>
      <c r="J36" s="10" t="str">
        <f>IFERROR(VLOOKUP($C36,Merchants!$A$2:$D$41,3,FALSE),"Merchant not found")</f>
        <v>ecommerce</v>
      </c>
      <c r="K36" s="10" t="str">
        <f>IFERROR(VLOOKUP($C36,Merchants!$A$2:$D$41,4,FALSE),"Merchant not found")</f>
        <v>North</v>
      </c>
      <c r="L36" s="11" t="str">
        <f t="shared" si="0"/>
        <v>Standard</v>
      </c>
    </row>
    <row r="37" spans="1:12" x14ac:dyDescent="0.3">
      <c r="A37" s="5" t="s">
        <v>144</v>
      </c>
      <c r="B37" s="4">
        <v>327</v>
      </c>
      <c r="C37" s="4">
        <v>18</v>
      </c>
      <c r="D37" s="4" t="s">
        <v>145</v>
      </c>
      <c r="E37" s="4">
        <v>149</v>
      </c>
      <c r="F37" s="5" t="s">
        <v>95</v>
      </c>
      <c r="G37" s="5" t="s">
        <v>70</v>
      </c>
      <c r="H37" s="4">
        <v>98</v>
      </c>
      <c r="I37" s="12" t="str">
        <f>IFERROR(VLOOKUP($C37,Merchants!$A$2:$D$41,2,FALSE),"Merchant not found")</f>
        <v>Merchant_018</v>
      </c>
      <c r="J37" s="12" t="str">
        <f>IFERROR(VLOOKUP($C37,Merchants!$A$2:$D$41,3,FALSE),"Merchant not found")</f>
        <v>grocery</v>
      </c>
      <c r="K37" s="12" t="str">
        <f>IFERROR(VLOOKUP($C37,Merchants!$A$2:$D$41,4,FALSE),"Merchant not found")</f>
        <v>West</v>
      </c>
      <c r="L37" s="13" t="str">
        <f t="shared" si="0"/>
        <v>Standard</v>
      </c>
    </row>
    <row r="38" spans="1:12" x14ac:dyDescent="0.3">
      <c r="A38" s="3" t="s">
        <v>146</v>
      </c>
      <c r="B38" s="2">
        <v>321</v>
      </c>
      <c r="C38" s="2">
        <v>16</v>
      </c>
      <c r="D38" s="2" t="s">
        <v>147</v>
      </c>
      <c r="E38" s="2">
        <v>49</v>
      </c>
      <c r="F38" s="3" t="s">
        <v>73</v>
      </c>
      <c r="G38" s="3" t="s">
        <v>70</v>
      </c>
      <c r="H38" s="2">
        <v>35</v>
      </c>
      <c r="I38" s="10" t="str">
        <f>IFERROR(VLOOKUP($C38,Merchants!$A$2:$D$41,2,FALSE),"Merchant not found")</f>
        <v>Merchant_016</v>
      </c>
      <c r="J38" s="10" t="str">
        <f>IFERROR(VLOOKUP($C38,Merchants!$A$2:$D$41,3,FALSE),"Merchant not found")</f>
        <v>bill_payment</v>
      </c>
      <c r="K38" s="10" t="str">
        <f>IFERROR(VLOOKUP($C38,Merchants!$A$2:$D$41,4,FALSE),"Merchant not found")</f>
        <v>West</v>
      </c>
      <c r="L38" s="11" t="str">
        <f t="shared" si="0"/>
        <v>Standard</v>
      </c>
    </row>
    <row r="39" spans="1:12" x14ac:dyDescent="0.3">
      <c r="A39" s="5" t="s">
        <v>148</v>
      </c>
      <c r="B39" s="4">
        <v>147</v>
      </c>
      <c r="C39" s="4">
        <v>16</v>
      </c>
      <c r="D39" s="4" t="s">
        <v>149</v>
      </c>
      <c r="E39" s="4">
        <v>2999</v>
      </c>
      <c r="F39" s="5" t="s">
        <v>95</v>
      </c>
      <c r="G39" s="5" t="s">
        <v>70</v>
      </c>
      <c r="H39" s="4">
        <v>34</v>
      </c>
      <c r="I39" s="12" t="str">
        <f>IFERROR(VLOOKUP($C39,Merchants!$A$2:$D$41,2,FALSE),"Merchant not found")</f>
        <v>Merchant_016</v>
      </c>
      <c r="J39" s="12" t="str">
        <f>IFERROR(VLOOKUP($C39,Merchants!$A$2:$D$41,3,FALSE),"Merchant not found")</f>
        <v>bill_payment</v>
      </c>
      <c r="K39" s="12" t="str">
        <f>IFERROR(VLOOKUP($C39,Merchants!$A$2:$D$41,4,FALSE),"Merchant not found")</f>
        <v>West</v>
      </c>
      <c r="L39" s="13" t="str">
        <f t="shared" si="0"/>
        <v>Standard</v>
      </c>
    </row>
    <row r="40" spans="1:12" x14ac:dyDescent="0.3">
      <c r="A40" s="3" t="s">
        <v>150</v>
      </c>
      <c r="B40" s="2">
        <v>277</v>
      </c>
      <c r="C40" s="2">
        <v>6</v>
      </c>
      <c r="D40" s="2" t="s">
        <v>151</v>
      </c>
      <c r="E40" s="2">
        <v>1499</v>
      </c>
      <c r="F40" s="3" t="s">
        <v>95</v>
      </c>
      <c r="G40" s="3" t="s">
        <v>70</v>
      </c>
      <c r="H40" s="2">
        <v>17</v>
      </c>
      <c r="I40" s="10" t="str">
        <f>IFERROR(VLOOKUP($C40,Merchants!$A$2:$D$41,2,FALSE),"Merchant not found")</f>
        <v>Merchant_006</v>
      </c>
      <c r="J40" s="10" t="str">
        <f>IFERROR(VLOOKUP($C40,Merchants!$A$2:$D$41,3,FALSE),"Merchant not found")</f>
        <v>food_delivery</v>
      </c>
      <c r="K40" s="10" t="str">
        <f>IFERROR(VLOOKUP($C40,Merchants!$A$2:$D$41,4,FALSE),"Merchant not found")</f>
        <v>South</v>
      </c>
      <c r="L40" s="11" t="str">
        <f t="shared" si="0"/>
        <v>Standard</v>
      </c>
    </row>
    <row r="41" spans="1:12" x14ac:dyDescent="0.3">
      <c r="A41" s="5" t="s">
        <v>152</v>
      </c>
      <c r="B41" s="4">
        <v>79</v>
      </c>
      <c r="C41" s="4">
        <v>14</v>
      </c>
      <c r="D41" s="4" t="s">
        <v>153</v>
      </c>
      <c r="E41" s="4">
        <v>1499</v>
      </c>
      <c r="F41" s="5" t="s">
        <v>73</v>
      </c>
      <c r="G41" s="5" t="s">
        <v>70</v>
      </c>
      <c r="H41" s="4">
        <v>8</v>
      </c>
      <c r="I41" s="12" t="str">
        <f>IFERROR(VLOOKUP($C41,Merchants!$A$2:$D$41,2,FALSE),"Merchant not found")</f>
        <v>Merchant_014</v>
      </c>
      <c r="J41" s="12" t="str">
        <f>IFERROR(VLOOKUP($C41,Merchants!$A$2:$D$41,3,FALSE),"Merchant not found")</f>
        <v>grocery</v>
      </c>
      <c r="K41" s="12" t="str">
        <f>IFERROR(VLOOKUP($C41,Merchants!$A$2:$D$41,4,FALSE),"Merchant not found")</f>
        <v>East</v>
      </c>
      <c r="L41" s="13" t="str">
        <f t="shared" si="0"/>
        <v>Standard</v>
      </c>
    </row>
    <row r="42" spans="1:12" x14ac:dyDescent="0.3">
      <c r="A42" s="3" t="s">
        <v>154</v>
      </c>
      <c r="B42" s="2">
        <v>278</v>
      </c>
      <c r="C42" s="2">
        <v>30</v>
      </c>
      <c r="D42" s="2" t="s">
        <v>155</v>
      </c>
      <c r="E42" s="2">
        <v>1499</v>
      </c>
      <c r="F42" s="3" t="s">
        <v>73</v>
      </c>
      <c r="G42" s="3" t="s">
        <v>70</v>
      </c>
      <c r="H42" s="2">
        <v>53</v>
      </c>
      <c r="I42" s="10" t="str">
        <f>IFERROR(VLOOKUP($C42,Merchants!$A$2:$D$41,2,FALSE),"Merchant not found")</f>
        <v>Merchant_030</v>
      </c>
      <c r="J42" s="10" t="str">
        <f>IFERROR(VLOOKUP($C42,Merchants!$A$2:$D$41,3,FALSE),"Merchant not found")</f>
        <v>travel</v>
      </c>
      <c r="K42" s="10" t="str">
        <f>IFERROR(VLOOKUP($C42,Merchants!$A$2:$D$41,4,FALSE),"Merchant not found")</f>
        <v>West</v>
      </c>
      <c r="L42" s="11" t="str">
        <f t="shared" si="0"/>
        <v>Standard</v>
      </c>
    </row>
    <row r="43" spans="1:12" x14ac:dyDescent="0.3">
      <c r="A43" s="5" t="s">
        <v>156</v>
      </c>
      <c r="B43" s="4">
        <v>216</v>
      </c>
      <c r="C43" s="4">
        <v>25</v>
      </c>
      <c r="D43" s="4" t="s">
        <v>157</v>
      </c>
      <c r="E43" s="4">
        <v>99</v>
      </c>
      <c r="F43" s="5" t="s">
        <v>73</v>
      </c>
      <c r="G43" s="5" t="s">
        <v>70</v>
      </c>
      <c r="H43" s="4">
        <v>98</v>
      </c>
      <c r="I43" s="12" t="str">
        <f>IFERROR(VLOOKUP($C43,Merchants!$A$2:$D$41,2,FALSE),"Merchant not found")</f>
        <v>Merchant_025</v>
      </c>
      <c r="J43" s="12" t="str">
        <f>IFERROR(VLOOKUP($C43,Merchants!$A$2:$D$41,3,FALSE),"Merchant not found")</f>
        <v>travel</v>
      </c>
      <c r="K43" s="12" t="str">
        <f>IFERROR(VLOOKUP($C43,Merchants!$A$2:$D$41,4,FALSE),"Merchant not found")</f>
        <v>South</v>
      </c>
      <c r="L43" s="13" t="str">
        <f t="shared" si="0"/>
        <v>Standard</v>
      </c>
    </row>
    <row r="44" spans="1:12" x14ac:dyDescent="0.3">
      <c r="A44" s="3" t="s">
        <v>158</v>
      </c>
      <c r="B44" s="2">
        <v>295</v>
      </c>
      <c r="C44" s="2">
        <v>25</v>
      </c>
      <c r="D44" s="2" t="s">
        <v>159</v>
      </c>
      <c r="E44" s="2">
        <v>1499</v>
      </c>
      <c r="F44" s="3" t="s">
        <v>73</v>
      </c>
      <c r="G44" s="3" t="s">
        <v>70</v>
      </c>
      <c r="H44" s="2">
        <v>61</v>
      </c>
      <c r="I44" s="10" t="str">
        <f>IFERROR(VLOOKUP($C44,Merchants!$A$2:$D$41,2,FALSE),"Merchant not found")</f>
        <v>Merchant_025</v>
      </c>
      <c r="J44" s="10" t="str">
        <f>IFERROR(VLOOKUP($C44,Merchants!$A$2:$D$41,3,FALSE),"Merchant not found")</f>
        <v>travel</v>
      </c>
      <c r="K44" s="10" t="str">
        <f>IFERROR(VLOOKUP($C44,Merchants!$A$2:$D$41,4,FALSE),"Merchant not found")</f>
        <v>South</v>
      </c>
      <c r="L44" s="11" t="str">
        <f t="shared" si="0"/>
        <v>Standard</v>
      </c>
    </row>
    <row r="45" spans="1:12" x14ac:dyDescent="0.3">
      <c r="A45" s="5" t="s">
        <v>160</v>
      </c>
      <c r="B45" s="4">
        <v>200</v>
      </c>
      <c r="C45" s="4">
        <v>27</v>
      </c>
      <c r="D45" s="4" t="s">
        <v>161</v>
      </c>
      <c r="E45" s="4">
        <v>149</v>
      </c>
      <c r="F45" s="5" t="s">
        <v>73</v>
      </c>
      <c r="G45" s="5" t="s">
        <v>70</v>
      </c>
      <c r="H45" s="4">
        <v>68</v>
      </c>
      <c r="I45" s="12" t="str">
        <f>IFERROR(VLOOKUP($C45,Merchants!$A$2:$D$41,2,FALSE),"Merchant not found")</f>
        <v>Merchant_027</v>
      </c>
      <c r="J45" s="12" t="str">
        <f>IFERROR(VLOOKUP($C45,Merchants!$A$2:$D$41,3,FALSE),"Merchant not found")</f>
        <v>ecommerce</v>
      </c>
      <c r="K45" s="12" t="str">
        <f>IFERROR(VLOOKUP($C45,Merchants!$A$2:$D$41,4,FALSE),"Merchant not found")</f>
        <v>North</v>
      </c>
      <c r="L45" s="13" t="str">
        <f t="shared" si="0"/>
        <v>Standard</v>
      </c>
    </row>
    <row r="46" spans="1:12" x14ac:dyDescent="0.3">
      <c r="A46" s="3" t="s">
        <v>162</v>
      </c>
      <c r="B46" s="2">
        <v>309</v>
      </c>
      <c r="C46" s="2">
        <v>15</v>
      </c>
      <c r="D46" s="2" t="s">
        <v>163</v>
      </c>
      <c r="E46" s="2">
        <v>99</v>
      </c>
      <c r="F46" s="3" t="s">
        <v>78</v>
      </c>
      <c r="G46" s="3" t="s">
        <v>70</v>
      </c>
      <c r="H46" s="2">
        <v>62</v>
      </c>
      <c r="I46" s="10" t="str">
        <f>IFERROR(VLOOKUP($C46,Merchants!$A$2:$D$41,2,FALSE),"Merchant not found")</f>
        <v>Merchant_015</v>
      </c>
      <c r="J46" s="10" t="str">
        <f>IFERROR(VLOOKUP($C46,Merchants!$A$2:$D$41,3,FALSE),"Merchant not found")</f>
        <v>travel</v>
      </c>
      <c r="K46" s="10" t="str">
        <f>IFERROR(VLOOKUP($C46,Merchants!$A$2:$D$41,4,FALSE),"Merchant not found")</f>
        <v>North</v>
      </c>
      <c r="L46" s="11" t="str">
        <f t="shared" si="0"/>
        <v>Standard</v>
      </c>
    </row>
    <row r="47" spans="1:12" x14ac:dyDescent="0.3">
      <c r="A47" s="5" t="s">
        <v>164</v>
      </c>
      <c r="B47" s="4">
        <v>249</v>
      </c>
      <c r="C47" s="4">
        <v>2</v>
      </c>
      <c r="D47" s="4" t="s">
        <v>165</v>
      </c>
      <c r="E47" s="4">
        <v>299</v>
      </c>
      <c r="F47" s="5" t="s">
        <v>69</v>
      </c>
      <c r="G47" s="5" t="s">
        <v>70</v>
      </c>
      <c r="H47" s="4">
        <v>49</v>
      </c>
      <c r="I47" s="12" t="str">
        <f>IFERROR(VLOOKUP($C47,Merchants!$A$2:$D$41,2,FALSE),"Merchant not found")</f>
        <v>Merchant_002</v>
      </c>
      <c r="J47" s="12" t="str">
        <f>IFERROR(VLOOKUP($C47,Merchants!$A$2:$D$41,3,FALSE),"Merchant not found")</f>
        <v>grocery</v>
      </c>
      <c r="K47" s="12" t="str">
        <f>IFERROR(VLOOKUP($C47,Merchants!$A$2:$D$41,4,FALSE),"Merchant not found")</f>
        <v>West</v>
      </c>
      <c r="L47" s="13" t="str">
        <f t="shared" si="0"/>
        <v>Standard</v>
      </c>
    </row>
    <row r="48" spans="1:12" x14ac:dyDescent="0.3">
      <c r="A48" s="3" t="s">
        <v>166</v>
      </c>
      <c r="B48" s="2">
        <v>208</v>
      </c>
      <c r="C48" s="2">
        <v>11</v>
      </c>
      <c r="D48" s="2" t="s">
        <v>167</v>
      </c>
      <c r="E48" s="2">
        <v>4999</v>
      </c>
      <c r="F48" s="3" t="s">
        <v>78</v>
      </c>
      <c r="G48" s="3" t="s">
        <v>70</v>
      </c>
      <c r="H48" s="2">
        <v>59</v>
      </c>
      <c r="I48" s="10" t="str">
        <f>IFERROR(VLOOKUP($C48,Merchants!$A$2:$D$41,2,FALSE),"Merchant not found")</f>
        <v>Merchant_011</v>
      </c>
      <c r="J48" s="10" t="str">
        <f>IFERROR(VLOOKUP($C48,Merchants!$A$2:$D$41,3,FALSE),"Merchant not found")</f>
        <v>ecommerce</v>
      </c>
      <c r="K48" s="10" t="str">
        <f>IFERROR(VLOOKUP($C48,Merchants!$A$2:$D$41,4,FALSE),"Merchant not found")</f>
        <v>North</v>
      </c>
      <c r="L48" s="11" t="str">
        <f t="shared" si="0"/>
        <v>Standard</v>
      </c>
    </row>
    <row r="49" spans="1:12" x14ac:dyDescent="0.3">
      <c r="A49" s="5" t="s">
        <v>168</v>
      </c>
      <c r="B49" s="4">
        <v>274</v>
      </c>
      <c r="C49" s="4">
        <v>2</v>
      </c>
      <c r="D49" s="4" t="s">
        <v>169</v>
      </c>
      <c r="E49" s="4">
        <v>299</v>
      </c>
      <c r="F49" s="5" t="s">
        <v>73</v>
      </c>
      <c r="G49" s="5" t="s">
        <v>70</v>
      </c>
      <c r="H49" s="4">
        <v>50</v>
      </c>
      <c r="I49" s="12" t="str">
        <f>IFERROR(VLOOKUP($C49,Merchants!$A$2:$D$41,2,FALSE),"Merchant not found")</f>
        <v>Merchant_002</v>
      </c>
      <c r="J49" s="12" t="str">
        <f>IFERROR(VLOOKUP($C49,Merchants!$A$2:$D$41,3,FALSE),"Merchant not found")</f>
        <v>grocery</v>
      </c>
      <c r="K49" s="12" t="str">
        <f>IFERROR(VLOOKUP($C49,Merchants!$A$2:$D$41,4,FALSE),"Merchant not found")</f>
        <v>West</v>
      </c>
      <c r="L49" s="13" t="str">
        <f t="shared" si="0"/>
        <v>Standard</v>
      </c>
    </row>
    <row r="50" spans="1:12" x14ac:dyDescent="0.3">
      <c r="A50" s="3" t="s">
        <v>170</v>
      </c>
      <c r="B50" s="2">
        <v>14</v>
      </c>
      <c r="C50" s="2">
        <v>6</v>
      </c>
      <c r="D50" s="2" t="s">
        <v>171</v>
      </c>
      <c r="E50" s="2">
        <v>49</v>
      </c>
      <c r="F50" s="3" t="s">
        <v>69</v>
      </c>
      <c r="G50" s="3" t="s">
        <v>70</v>
      </c>
      <c r="H50" s="2">
        <v>82</v>
      </c>
      <c r="I50" s="10" t="str">
        <f>IFERROR(VLOOKUP($C50,Merchants!$A$2:$D$41,2,FALSE),"Merchant not found")</f>
        <v>Merchant_006</v>
      </c>
      <c r="J50" s="10" t="str">
        <f>IFERROR(VLOOKUP($C50,Merchants!$A$2:$D$41,3,FALSE),"Merchant not found")</f>
        <v>food_delivery</v>
      </c>
      <c r="K50" s="10" t="str">
        <f>IFERROR(VLOOKUP($C50,Merchants!$A$2:$D$41,4,FALSE),"Merchant not found")</f>
        <v>South</v>
      </c>
      <c r="L50" s="11" t="str">
        <f t="shared" si="0"/>
        <v>Standard</v>
      </c>
    </row>
    <row r="51" spans="1:12" x14ac:dyDescent="0.3">
      <c r="A51" s="5" t="s">
        <v>172</v>
      </c>
      <c r="B51" s="4">
        <v>237</v>
      </c>
      <c r="C51" s="4">
        <v>12</v>
      </c>
      <c r="D51" s="4" t="s">
        <v>173</v>
      </c>
      <c r="E51" s="4">
        <v>49</v>
      </c>
      <c r="F51" s="5" t="s">
        <v>73</v>
      </c>
      <c r="G51" s="5" t="s">
        <v>70</v>
      </c>
      <c r="H51" s="4">
        <v>6</v>
      </c>
      <c r="I51" s="12" t="str">
        <f>IFERROR(VLOOKUP($C51,Merchants!$A$2:$D$41,2,FALSE),"Merchant not found")</f>
        <v>Merchant_012</v>
      </c>
      <c r="J51" s="12" t="str">
        <f>IFERROR(VLOOKUP($C51,Merchants!$A$2:$D$41,3,FALSE),"Merchant not found")</f>
        <v>ecommerce</v>
      </c>
      <c r="K51" s="12" t="str">
        <f>IFERROR(VLOOKUP($C51,Merchants!$A$2:$D$41,4,FALSE),"Merchant not found")</f>
        <v>East</v>
      </c>
      <c r="L51" s="13" t="str">
        <f t="shared" si="0"/>
        <v>Standard</v>
      </c>
    </row>
    <row r="52" spans="1:12" x14ac:dyDescent="0.3">
      <c r="A52" s="3" t="s">
        <v>174</v>
      </c>
      <c r="B52" s="2">
        <v>109</v>
      </c>
      <c r="C52" s="2">
        <v>30</v>
      </c>
      <c r="D52" s="2" t="s">
        <v>175</v>
      </c>
      <c r="E52" s="2">
        <v>99</v>
      </c>
      <c r="F52" s="3" t="s">
        <v>73</v>
      </c>
      <c r="G52" s="3" t="s">
        <v>70</v>
      </c>
      <c r="H52" s="2">
        <v>41</v>
      </c>
      <c r="I52" s="10" t="str">
        <f>IFERROR(VLOOKUP($C52,Merchants!$A$2:$D$41,2,FALSE),"Merchant not found")</f>
        <v>Merchant_030</v>
      </c>
      <c r="J52" s="10" t="str">
        <f>IFERROR(VLOOKUP($C52,Merchants!$A$2:$D$41,3,FALSE),"Merchant not found")</f>
        <v>travel</v>
      </c>
      <c r="K52" s="10" t="str">
        <f>IFERROR(VLOOKUP($C52,Merchants!$A$2:$D$41,4,FALSE),"Merchant not found")</f>
        <v>West</v>
      </c>
      <c r="L52" s="11" t="str">
        <f t="shared" si="0"/>
        <v>Standard</v>
      </c>
    </row>
    <row r="53" spans="1:12" x14ac:dyDescent="0.3">
      <c r="A53" s="5" t="s">
        <v>176</v>
      </c>
      <c r="B53" s="4">
        <v>216</v>
      </c>
      <c r="C53" s="4">
        <v>17</v>
      </c>
      <c r="D53" s="4" t="s">
        <v>177</v>
      </c>
      <c r="E53" s="4">
        <v>4999</v>
      </c>
      <c r="F53" s="5" t="s">
        <v>73</v>
      </c>
      <c r="G53" s="5" t="s">
        <v>70</v>
      </c>
      <c r="H53" s="4">
        <v>10</v>
      </c>
      <c r="I53" s="12" t="str">
        <f>IFERROR(VLOOKUP($C53,Merchants!$A$2:$D$41,2,FALSE),"Merchant not found")</f>
        <v>Merchant_017</v>
      </c>
      <c r="J53" s="12" t="str">
        <f>IFERROR(VLOOKUP($C53,Merchants!$A$2:$D$41,3,FALSE),"Merchant not found")</f>
        <v>grocery</v>
      </c>
      <c r="K53" s="12" t="str">
        <f>IFERROR(VLOOKUP($C53,Merchants!$A$2:$D$41,4,FALSE),"Merchant not found")</f>
        <v>North</v>
      </c>
      <c r="L53" s="13" t="str">
        <f t="shared" si="0"/>
        <v>High-Value Merchant Day</v>
      </c>
    </row>
    <row r="54" spans="1:12" x14ac:dyDescent="0.3">
      <c r="A54" s="3" t="s">
        <v>178</v>
      </c>
      <c r="B54" s="2">
        <v>277</v>
      </c>
      <c r="C54" s="2">
        <v>4</v>
      </c>
      <c r="D54" s="2" t="s">
        <v>179</v>
      </c>
      <c r="E54" s="2">
        <v>799</v>
      </c>
      <c r="F54" s="3" t="s">
        <v>73</v>
      </c>
      <c r="G54" s="3" t="s">
        <v>70</v>
      </c>
      <c r="H54" s="2">
        <v>44</v>
      </c>
      <c r="I54" s="10" t="str">
        <f>IFERROR(VLOOKUP($C54,Merchants!$A$2:$D$41,2,FALSE),"Merchant not found")</f>
        <v>Merchant_004</v>
      </c>
      <c r="J54" s="10" t="str">
        <f>IFERROR(VLOOKUP($C54,Merchants!$A$2:$D$41,3,FALSE),"Merchant not found")</f>
        <v>ecommerce</v>
      </c>
      <c r="K54" s="10" t="str">
        <f>IFERROR(VLOOKUP($C54,Merchants!$A$2:$D$41,4,FALSE),"Merchant not found")</f>
        <v>East</v>
      </c>
      <c r="L54" s="11" t="str">
        <f t="shared" si="0"/>
        <v>Standard</v>
      </c>
    </row>
    <row r="55" spans="1:12" x14ac:dyDescent="0.3">
      <c r="A55" s="5" t="s">
        <v>180</v>
      </c>
      <c r="B55" s="4">
        <v>334</v>
      </c>
      <c r="C55" s="4">
        <v>3</v>
      </c>
      <c r="D55" s="4" t="s">
        <v>181</v>
      </c>
      <c r="E55" s="4">
        <v>149</v>
      </c>
      <c r="F55" s="5" t="s">
        <v>69</v>
      </c>
      <c r="G55" s="5" t="s">
        <v>70</v>
      </c>
      <c r="H55" s="4">
        <v>96</v>
      </c>
      <c r="I55" s="12" t="str">
        <f>IFERROR(VLOOKUP($C55,Merchants!$A$2:$D$41,2,FALSE),"Merchant not found")</f>
        <v>Merchant_003</v>
      </c>
      <c r="J55" s="12" t="str">
        <f>IFERROR(VLOOKUP($C55,Merchants!$A$2:$D$41,3,FALSE),"Merchant not found")</f>
        <v>grocery</v>
      </c>
      <c r="K55" s="12" t="str">
        <f>IFERROR(VLOOKUP($C55,Merchants!$A$2:$D$41,4,FALSE),"Merchant not found")</f>
        <v>East</v>
      </c>
      <c r="L55" s="13" t="str">
        <f t="shared" si="0"/>
        <v>Standard</v>
      </c>
    </row>
    <row r="56" spans="1:12" x14ac:dyDescent="0.3">
      <c r="A56" s="3" t="s">
        <v>182</v>
      </c>
      <c r="B56" s="2">
        <v>11</v>
      </c>
      <c r="C56" s="2">
        <v>40</v>
      </c>
      <c r="D56" s="2" t="s">
        <v>183</v>
      </c>
      <c r="E56" s="2">
        <v>299</v>
      </c>
      <c r="F56" s="3" t="s">
        <v>73</v>
      </c>
      <c r="G56" s="3" t="s">
        <v>70</v>
      </c>
      <c r="H56" s="2">
        <v>19</v>
      </c>
      <c r="I56" s="10" t="str">
        <f>IFERROR(VLOOKUP($C56,Merchants!$A$2:$D$41,2,FALSE),"Merchant not found")</f>
        <v>Merchant_040</v>
      </c>
      <c r="J56" s="10" t="str">
        <f>IFERROR(VLOOKUP($C56,Merchants!$A$2:$D$41,3,FALSE),"Merchant not found")</f>
        <v>entertainment</v>
      </c>
      <c r="K56" s="10" t="str">
        <f>IFERROR(VLOOKUP($C56,Merchants!$A$2:$D$41,4,FALSE),"Merchant not found")</f>
        <v>South</v>
      </c>
      <c r="L56" s="11" t="str">
        <f t="shared" si="0"/>
        <v>Standard</v>
      </c>
    </row>
    <row r="57" spans="1:12" x14ac:dyDescent="0.3">
      <c r="A57" s="5" t="s">
        <v>184</v>
      </c>
      <c r="B57" s="4">
        <v>343</v>
      </c>
      <c r="C57" s="4">
        <v>8</v>
      </c>
      <c r="D57" s="4" t="s">
        <v>185</v>
      </c>
      <c r="E57" s="4">
        <v>99</v>
      </c>
      <c r="F57" s="5" t="s">
        <v>73</v>
      </c>
      <c r="G57" s="5" t="s">
        <v>70</v>
      </c>
      <c r="H57" s="4">
        <v>72</v>
      </c>
      <c r="I57" s="12" t="str">
        <f>IFERROR(VLOOKUP($C57,Merchants!$A$2:$D$41,2,FALSE),"Merchant not found")</f>
        <v>Merchant_008</v>
      </c>
      <c r="J57" s="12" t="str">
        <f>IFERROR(VLOOKUP($C57,Merchants!$A$2:$D$41,3,FALSE),"Merchant not found")</f>
        <v>food_delivery</v>
      </c>
      <c r="K57" s="12" t="str">
        <f>IFERROR(VLOOKUP($C57,Merchants!$A$2:$D$41,4,FALSE),"Merchant not found")</f>
        <v>North</v>
      </c>
      <c r="L57" s="13" t="str">
        <f t="shared" si="0"/>
        <v>Standard</v>
      </c>
    </row>
    <row r="58" spans="1:12" x14ac:dyDescent="0.3">
      <c r="A58" s="3" t="s">
        <v>186</v>
      </c>
      <c r="B58" s="2">
        <v>132</v>
      </c>
      <c r="C58" s="2">
        <v>24</v>
      </c>
      <c r="D58" s="2" t="s">
        <v>187</v>
      </c>
      <c r="E58" s="2">
        <v>299</v>
      </c>
      <c r="F58" s="3" t="s">
        <v>69</v>
      </c>
      <c r="G58" s="3" t="s">
        <v>70</v>
      </c>
      <c r="H58" s="2">
        <v>21</v>
      </c>
      <c r="I58" s="10" t="str">
        <f>IFERROR(VLOOKUP($C58,Merchants!$A$2:$D$41,2,FALSE),"Merchant not found")</f>
        <v>Merchant_024</v>
      </c>
      <c r="J58" s="10" t="str">
        <f>IFERROR(VLOOKUP($C58,Merchants!$A$2:$D$41,3,FALSE),"Merchant not found")</f>
        <v>grocery</v>
      </c>
      <c r="K58" s="10" t="str">
        <f>IFERROR(VLOOKUP($C58,Merchants!$A$2:$D$41,4,FALSE),"Merchant not found")</f>
        <v>North</v>
      </c>
      <c r="L58" s="11" t="str">
        <f t="shared" si="0"/>
        <v>Standard</v>
      </c>
    </row>
    <row r="59" spans="1:12" x14ac:dyDescent="0.3">
      <c r="A59" s="5" t="s">
        <v>188</v>
      </c>
      <c r="B59" s="4">
        <v>59</v>
      </c>
      <c r="C59" s="4">
        <v>11</v>
      </c>
      <c r="D59" s="4" t="s">
        <v>189</v>
      </c>
      <c r="E59" s="4">
        <v>299</v>
      </c>
      <c r="F59" s="5" t="s">
        <v>73</v>
      </c>
      <c r="G59" s="5" t="s">
        <v>70</v>
      </c>
      <c r="H59" s="4">
        <v>39</v>
      </c>
      <c r="I59" s="12" t="str">
        <f>IFERROR(VLOOKUP($C59,Merchants!$A$2:$D$41,2,FALSE),"Merchant not found")</f>
        <v>Merchant_011</v>
      </c>
      <c r="J59" s="12" t="str">
        <f>IFERROR(VLOOKUP($C59,Merchants!$A$2:$D$41,3,FALSE),"Merchant not found")</f>
        <v>ecommerce</v>
      </c>
      <c r="K59" s="12" t="str">
        <f>IFERROR(VLOOKUP($C59,Merchants!$A$2:$D$41,4,FALSE),"Merchant not found")</f>
        <v>North</v>
      </c>
      <c r="L59" s="13" t="str">
        <f t="shared" si="0"/>
        <v>Standard</v>
      </c>
    </row>
    <row r="60" spans="1:12" x14ac:dyDescent="0.3">
      <c r="A60" s="3" t="s">
        <v>190</v>
      </c>
      <c r="B60" s="2">
        <v>160</v>
      </c>
      <c r="C60" s="2">
        <v>37</v>
      </c>
      <c r="D60" s="2" t="s">
        <v>191</v>
      </c>
      <c r="E60" s="2">
        <v>49</v>
      </c>
      <c r="F60" s="3" t="s">
        <v>69</v>
      </c>
      <c r="G60" s="3" t="s">
        <v>70</v>
      </c>
      <c r="H60" s="2">
        <v>86</v>
      </c>
      <c r="I60" s="10" t="str">
        <f>IFERROR(VLOOKUP($C60,Merchants!$A$2:$D$41,2,FALSE),"Merchant not found")</f>
        <v>Merchant_037</v>
      </c>
      <c r="J60" s="10" t="str">
        <f>IFERROR(VLOOKUP($C60,Merchants!$A$2:$D$41,3,FALSE),"Merchant not found")</f>
        <v>entertainment</v>
      </c>
      <c r="K60" s="10" t="str">
        <f>IFERROR(VLOOKUP($C60,Merchants!$A$2:$D$41,4,FALSE),"Merchant not found")</f>
        <v>South</v>
      </c>
      <c r="L60" s="11" t="str">
        <f t="shared" si="0"/>
        <v>Standard</v>
      </c>
    </row>
    <row r="61" spans="1:12" x14ac:dyDescent="0.3">
      <c r="A61" s="5" t="s">
        <v>192</v>
      </c>
      <c r="B61" s="4">
        <v>102</v>
      </c>
      <c r="C61" s="4">
        <v>5</v>
      </c>
      <c r="D61" s="4" t="s">
        <v>193</v>
      </c>
      <c r="E61" s="4">
        <v>2999</v>
      </c>
      <c r="F61" s="5" t="s">
        <v>73</v>
      </c>
      <c r="G61" s="5" t="s">
        <v>70</v>
      </c>
      <c r="H61" s="4">
        <v>75</v>
      </c>
      <c r="I61" s="12" t="str">
        <f>IFERROR(VLOOKUP($C61,Merchants!$A$2:$D$41,2,FALSE),"Merchant not found")</f>
        <v>Merchant_005</v>
      </c>
      <c r="J61" s="12" t="str">
        <f>IFERROR(VLOOKUP($C61,Merchants!$A$2:$D$41,3,FALSE),"Merchant not found")</f>
        <v>recharge</v>
      </c>
      <c r="K61" s="12" t="str">
        <f>IFERROR(VLOOKUP($C61,Merchants!$A$2:$D$41,4,FALSE),"Merchant not found")</f>
        <v>South</v>
      </c>
      <c r="L61" s="13" t="str">
        <f t="shared" si="0"/>
        <v>Standard</v>
      </c>
    </row>
    <row r="62" spans="1:12" x14ac:dyDescent="0.3">
      <c r="A62" s="3" t="s">
        <v>194</v>
      </c>
      <c r="B62" s="2">
        <v>53</v>
      </c>
      <c r="C62" s="2">
        <v>20</v>
      </c>
      <c r="D62" s="2" t="s">
        <v>195</v>
      </c>
      <c r="E62" s="2">
        <v>49</v>
      </c>
      <c r="F62" s="3" t="s">
        <v>78</v>
      </c>
      <c r="G62" s="3" t="s">
        <v>70</v>
      </c>
      <c r="H62" s="2">
        <v>87</v>
      </c>
      <c r="I62" s="10" t="str">
        <f>IFERROR(VLOOKUP($C62,Merchants!$A$2:$D$41,2,FALSE),"Merchant not found")</f>
        <v>Merchant_020</v>
      </c>
      <c r="J62" s="10" t="str">
        <f>IFERROR(VLOOKUP($C62,Merchants!$A$2:$D$41,3,FALSE),"Merchant not found")</f>
        <v>food_delivery</v>
      </c>
      <c r="K62" s="10" t="str">
        <f>IFERROR(VLOOKUP($C62,Merchants!$A$2:$D$41,4,FALSE),"Merchant not found")</f>
        <v>East</v>
      </c>
      <c r="L62" s="11" t="str">
        <f t="shared" si="0"/>
        <v>Standard</v>
      </c>
    </row>
    <row r="63" spans="1:12" x14ac:dyDescent="0.3">
      <c r="A63" s="5" t="s">
        <v>196</v>
      </c>
      <c r="B63" s="4">
        <v>290</v>
      </c>
      <c r="C63" s="4">
        <v>3</v>
      </c>
      <c r="D63" s="4" t="s">
        <v>197</v>
      </c>
      <c r="E63" s="4">
        <v>99</v>
      </c>
      <c r="F63" s="5" t="s">
        <v>69</v>
      </c>
      <c r="G63" s="5" t="s">
        <v>70</v>
      </c>
      <c r="H63" s="4">
        <v>44</v>
      </c>
      <c r="I63" s="12" t="str">
        <f>IFERROR(VLOOKUP($C63,Merchants!$A$2:$D$41,2,FALSE),"Merchant not found")</f>
        <v>Merchant_003</v>
      </c>
      <c r="J63" s="12" t="str">
        <f>IFERROR(VLOOKUP($C63,Merchants!$A$2:$D$41,3,FALSE),"Merchant not found")</f>
        <v>grocery</v>
      </c>
      <c r="K63" s="12" t="str">
        <f>IFERROR(VLOOKUP($C63,Merchants!$A$2:$D$41,4,FALSE),"Merchant not found")</f>
        <v>East</v>
      </c>
      <c r="L63" s="13" t="str">
        <f t="shared" si="0"/>
        <v>Standard</v>
      </c>
    </row>
    <row r="64" spans="1:12" x14ac:dyDescent="0.3">
      <c r="A64" s="3" t="s">
        <v>198</v>
      </c>
      <c r="B64" s="2">
        <v>190</v>
      </c>
      <c r="C64" s="2">
        <v>5</v>
      </c>
      <c r="D64" s="2" t="s">
        <v>199</v>
      </c>
      <c r="E64" s="2">
        <v>299</v>
      </c>
      <c r="F64" s="3" t="s">
        <v>73</v>
      </c>
      <c r="G64" s="3" t="s">
        <v>70</v>
      </c>
      <c r="H64" s="2">
        <v>64</v>
      </c>
      <c r="I64" s="10" t="str">
        <f>IFERROR(VLOOKUP($C64,Merchants!$A$2:$D$41,2,FALSE),"Merchant not found")</f>
        <v>Merchant_005</v>
      </c>
      <c r="J64" s="10" t="str">
        <f>IFERROR(VLOOKUP($C64,Merchants!$A$2:$D$41,3,FALSE),"Merchant not found")</f>
        <v>recharge</v>
      </c>
      <c r="K64" s="10" t="str">
        <f>IFERROR(VLOOKUP($C64,Merchants!$A$2:$D$41,4,FALSE),"Merchant not found")</f>
        <v>South</v>
      </c>
      <c r="L64" s="11" t="str">
        <f t="shared" si="0"/>
        <v>Standard</v>
      </c>
    </row>
    <row r="65" spans="1:12" x14ac:dyDescent="0.3">
      <c r="A65" s="5" t="s">
        <v>200</v>
      </c>
      <c r="B65" s="4">
        <v>216</v>
      </c>
      <c r="C65" s="4">
        <v>32</v>
      </c>
      <c r="D65" s="4" t="s">
        <v>201</v>
      </c>
      <c r="E65" s="4">
        <v>49</v>
      </c>
      <c r="F65" s="5" t="s">
        <v>95</v>
      </c>
      <c r="G65" s="5" t="s">
        <v>70</v>
      </c>
      <c r="H65" s="4">
        <v>13</v>
      </c>
      <c r="I65" s="12" t="str">
        <f>IFERROR(VLOOKUP($C65,Merchants!$A$2:$D$41,2,FALSE),"Merchant not found")</f>
        <v>Merchant_032</v>
      </c>
      <c r="J65" s="12" t="str">
        <f>IFERROR(VLOOKUP($C65,Merchants!$A$2:$D$41,3,FALSE),"Merchant not found")</f>
        <v>food_delivery</v>
      </c>
      <c r="K65" s="12" t="str">
        <f>IFERROR(VLOOKUP($C65,Merchants!$A$2:$D$41,4,FALSE),"Merchant not found")</f>
        <v>West</v>
      </c>
      <c r="L65" s="13" t="str">
        <f t="shared" si="0"/>
        <v>Standard</v>
      </c>
    </row>
    <row r="66" spans="1:12" x14ac:dyDescent="0.3">
      <c r="A66" s="3" t="s">
        <v>202</v>
      </c>
      <c r="B66" s="2">
        <v>236</v>
      </c>
      <c r="C66" s="2">
        <v>10</v>
      </c>
      <c r="D66" s="2" t="s">
        <v>203</v>
      </c>
      <c r="E66" s="2">
        <v>499</v>
      </c>
      <c r="F66" s="3" t="s">
        <v>73</v>
      </c>
      <c r="G66" s="3" t="s">
        <v>70</v>
      </c>
      <c r="H66" s="2">
        <v>55</v>
      </c>
      <c r="I66" s="10" t="str">
        <f>IFERROR(VLOOKUP($C66,Merchants!$A$2:$D$41,2,FALSE),"Merchant not found")</f>
        <v>Merchant_010</v>
      </c>
      <c r="J66" s="10" t="str">
        <f>IFERROR(VLOOKUP($C66,Merchants!$A$2:$D$41,3,FALSE),"Merchant not found")</f>
        <v>grocery</v>
      </c>
      <c r="K66" s="10" t="str">
        <f>IFERROR(VLOOKUP($C66,Merchants!$A$2:$D$41,4,FALSE),"Merchant not found")</f>
        <v>West</v>
      </c>
      <c r="L66" s="11" t="str">
        <f t="shared" ref="L66:L129" si="1">IF(AND(SUMPRODUCT(($C$2:$C$548=$C66)*(LEFT($D$2:$D$548,10)=LEFT($D66,10))*$E$2:$E$548)&gt;5000,$K66&lt;&gt;"East"),"High-Value Merchant Day","Standard")</f>
        <v>Standard</v>
      </c>
    </row>
    <row r="67" spans="1:12" x14ac:dyDescent="0.3">
      <c r="A67" s="5" t="s">
        <v>204</v>
      </c>
      <c r="B67" s="4">
        <v>334</v>
      </c>
      <c r="C67" s="4">
        <v>18</v>
      </c>
      <c r="D67" s="4" t="s">
        <v>205</v>
      </c>
      <c r="E67" s="4">
        <v>499</v>
      </c>
      <c r="F67" s="5" t="s">
        <v>95</v>
      </c>
      <c r="G67" s="5" t="s">
        <v>70</v>
      </c>
      <c r="H67" s="4">
        <v>78</v>
      </c>
      <c r="I67" s="12" t="str">
        <f>IFERROR(VLOOKUP($C67,Merchants!$A$2:$D$41,2,FALSE),"Merchant not found")</f>
        <v>Merchant_018</v>
      </c>
      <c r="J67" s="12" t="str">
        <f>IFERROR(VLOOKUP($C67,Merchants!$A$2:$D$41,3,FALSE),"Merchant not found")</f>
        <v>grocery</v>
      </c>
      <c r="K67" s="12" t="str">
        <f>IFERROR(VLOOKUP($C67,Merchants!$A$2:$D$41,4,FALSE),"Merchant not found")</f>
        <v>West</v>
      </c>
      <c r="L67" s="13" t="str">
        <f t="shared" si="1"/>
        <v>Standard</v>
      </c>
    </row>
    <row r="68" spans="1:12" x14ac:dyDescent="0.3">
      <c r="A68" s="3" t="s">
        <v>206</v>
      </c>
      <c r="B68" s="2">
        <v>248</v>
      </c>
      <c r="C68" s="2">
        <v>30</v>
      </c>
      <c r="D68" s="2" t="s">
        <v>207</v>
      </c>
      <c r="E68" s="2">
        <v>799</v>
      </c>
      <c r="F68" s="3" t="s">
        <v>69</v>
      </c>
      <c r="G68" s="3" t="s">
        <v>70</v>
      </c>
      <c r="H68" s="2">
        <v>55</v>
      </c>
      <c r="I68" s="10" t="str">
        <f>IFERROR(VLOOKUP($C68,Merchants!$A$2:$D$41,2,FALSE),"Merchant not found")</f>
        <v>Merchant_030</v>
      </c>
      <c r="J68" s="10" t="str">
        <f>IFERROR(VLOOKUP($C68,Merchants!$A$2:$D$41,3,FALSE),"Merchant not found")</f>
        <v>travel</v>
      </c>
      <c r="K68" s="10" t="str">
        <f>IFERROR(VLOOKUP($C68,Merchants!$A$2:$D$41,4,FALSE),"Merchant not found")</f>
        <v>West</v>
      </c>
      <c r="L68" s="11" t="str">
        <f t="shared" si="1"/>
        <v>Standard</v>
      </c>
    </row>
    <row r="69" spans="1:12" x14ac:dyDescent="0.3">
      <c r="A69" s="5" t="s">
        <v>208</v>
      </c>
      <c r="B69" s="4">
        <v>138</v>
      </c>
      <c r="C69" s="4">
        <v>21</v>
      </c>
      <c r="D69" s="4" t="s">
        <v>209</v>
      </c>
      <c r="E69" s="4">
        <v>49</v>
      </c>
      <c r="F69" s="5" t="s">
        <v>95</v>
      </c>
      <c r="G69" s="5" t="s">
        <v>70</v>
      </c>
      <c r="H69" s="4">
        <v>31</v>
      </c>
      <c r="I69" s="12" t="str">
        <f>IFERROR(VLOOKUP($C69,Merchants!$A$2:$D$41,2,FALSE),"Merchant not found")</f>
        <v>Merchant_021</v>
      </c>
      <c r="J69" s="12" t="str">
        <f>IFERROR(VLOOKUP($C69,Merchants!$A$2:$D$41,3,FALSE),"Merchant not found")</f>
        <v>food_delivery</v>
      </c>
      <c r="K69" s="12" t="str">
        <f>IFERROR(VLOOKUP($C69,Merchants!$A$2:$D$41,4,FALSE),"Merchant not found")</f>
        <v>East</v>
      </c>
      <c r="L69" s="13" t="str">
        <f t="shared" si="1"/>
        <v>Standard</v>
      </c>
    </row>
    <row r="70" spans="1:12" x14ac:dyDescent="0.3">
      <c r="A70" s="3" t="s">
        <v>210</v>
      </c>
      <c r="B70" s="2">
        <v>231</v>
      </c>
      <c r="C70" s="2">
        <v>16</v>
      </c>
      <c r="D70" s="2" t="s">
        <v>211</v>
      </c>
      <c r="E70" s="2">
        <v>49</v>
      </c>
      <c r="F70" s="3" t="s">
        <v>73</v>
      </c>
      <c r="G70" s="3" t="s">
        <v>70</v>
      </c>
      <c r="H70" s="2">
        <v>96</v>
      </c>
      <c r="I70" s="10" t="str">
        <f>IFERROR(VLOOKUP($C70,Merchants!$A$2:$D$41,2,FALSE),"Merchant not found")</f>
        <v>Merchant_016</v>
      </c>
      <c r="J70" s="10" t="str">
        <f>IFERROR(VLOOKUP($C70,Merchants!$A$2:$D$41,3,FALSE),"Merchant not found")</f>
        <v>bill_payment</v>
      </c>
      <c r="K70" s="10" t="str">
        <f>IFERROR(VLOOKUP($C70,Merchants!$A$2:$D$41,4,FALSE),"Merchant not found")</f>
        <v>West</v>
      </c>
      <c r="L70" s="11" t="str">
        <f t="shared" si="1"/>
        <v>Standard</v>
      </c>
    </row>
    <row r="71" spans="1:12" x14ac:dyDescent="0.3">
      <c r="A71" s="5" t="s">
        <v>212</v>
      </c>
      <c r="B71" s="4">
        <v>343</v>
      </c>
      <c r="C71" s="4">
        <v>25</v>
      </c>
      <c r="D71" s="4" t="s">
        <v>213</v>
      </c>
      <c r="E71" s="4">
        <v>49</v>
      </c>
      <c r="F71" s="5" t="s">
        <v>73</v>
      </c>
      <c r="G71" s="5" t="s">
        <v>70</v>
      </c>
      <c r="H71" s="4">
        <v>43</v>
      </c>
      <c r="I71" s="12" t="str">
        <f>IFERROR(VLOOKUP($C71,Merchants!$A$2:$D$41,2,FALSE),"Merchant not found")</f>
        <v>Merchant_025</v>
      </c>
      <c r="J71" s="12" t="str">
        <f>IFERROR(VLOOKUP($C71,Merchants!$A$2:$D$41,3,FALSE),"Merchant not found")</f>
        <v>travel</v>
      </c>
      <c r="K71" s="12" t="str">
        <f>IFERROR(VLOOKUP($C71,Merchants!$A$2:$D$41,4,FALSE),"Merchant not found")</f>
        <v>South</v>
      </c>
      <c r="L71" s="13" t="str">
        <f t="shared" si="1"/>
        <v>Standard</v>
      </c>
    </row>
    <row r="72" spans="1:12" x14ac:dyDescent="0.3">
      <c r="A72" s="3" t="s">
        <v>214</v>
      </c>
      <c r="B72" s="2">
        <v>167</v>
      </c>
      <c r="C72" s="2">
        <v>12</v>
      </c>
      <c r="D72" s="2" t="s">
        <v>215</v>
      </c>
      <c r="E72" s="2">
        <v>499</v>
      </c>
      <c r="F72" s="3" t="s">
        <v>69</v>
      </c>
      <c r="G72" s="3" t="s">
        <v>70</v>
      </c>
      <c r="H72" s="2">
        <v>62</v>
      </c>
      <c r="I72" s="10" t="str">
        <f>IFERROR(VLOOKUP($C72,Merchants!$A$2:$D$41,2,FALSE),"Merchant not found")</f>
        <v>Merchant_012</v>
      </c>
      <c r="J72" s="10" t="str">
        <f>IFERROR(VLOOKUP($C72,Merchants!$A$2:$D$41,3,FALSE),"Merchant not found")</f>
        <v>ecommerce</v>
      </c>
      <c r="K72" s="10" t="str">
        <f>IFERROR(VLOOKUP($C72,Merchants!$A$2:$D$41,4,FALSE),"Merchant not found")</f>
        <v>East</v>
      </c>
      <c r="L72" s="11" t="str">
        <f t="shared" si="1"/>
        <v>Standard</v>
      </c>
    </row>
    <row r="73" spans="1:12" x14ac:dyDescent="0.3">
      <c r="A73" s="5" t="s">
        <v>216</v>
      </c>
      <c r="B73" s="4">
        <v>133</v>
      </c>
      <c r="C73" s="4">
        <v>22</v>
      </c>
      <c r="D73" s="4" t="s">
        <v>217</v>
      </c>
      <c r="E73" s="4">
        <v>499</v>
      </c>
      <c r="F73" s="5" t="s">
        <v>73</v>
      </c>
      <c r="G73" s="5" t="s">
        <v>70</v>
      </c>
      <c r="H73" s="4">
        <v>35</v>
      </c>
      <c r="I73" s="12" t="str">
        <f>IFERROR(VLOOKUP($C73,Merchants!$A$2:$D$41,2,FALSE),"Merchant not found")</f>
        <v>Merchant_022</v>
      </c>
      <c r="J73" s="12" t="str">
        <f>IFERROR(VLOOKUP($C73,Merchants!$A$2:$D$41,3,FALSE),"Merchant not found")</f>
        <v>travel</v>
      </c>
      <c r="K73" s="12" t="str">
        <f>IFERROR(VLOOKUP($C73,Merchants!$A$2:$D$41,4,FALSE),"Merchant not found")</f>
        <v>South</v>
      </c>
      <c r="L73" s="13" t="str">
        <f t="shared" si="1"/>
        <v>Standard</v>
      </c>
    </row>
    <row r="74" spans="1:12" x14ac:dyDescent="0.3">
      <c r="A74" s="3" t="s">
        <v>218</v>
      </c>
      <c r="B74" s="2">
        <v>142</v>
      </c>
      <c r="C74" s="2">
        <v>36</v>
      </c>
      <c r="D74" s="2" t="s">
        <v>219</v>
      </c>
      <c r="E74" s="2">
        <v>799</v>
      </c>
      <c r="F74" s="3" t="s">
        <v>69</v>
      </c>
      <c r="G74" s="3" t="s">
        <v>70</v>
      </c>
      <c r="H74" s="2">
        <v>1</v>
      </c>
      <c r="I74" s="10" t="str">
        <f>IFERROR(VLOOKUP($C74,Merchants!$A$2:$D$41,2,FALSE),"Merchant not found")</f>
        <v>Merchant_036</v>
      </c>
      <c r="J74" s="10" t="str">
        <f>IFERROR(VLOOKUP($C74,Merchants!$A$2:$D$41,3,FALSE),"Merchant not found")</f>
        <v>entertainment</v>
      </c>
      <c r="K74" s="10" t="str">
        <f>IFERROR(VLOOKUP($C74,Merchants!$A$2:$D$41,4,FALSE),"Merchant not found")</f>
        <v>East</v>
      </c>
      <c r="L74" s="11" t="str">
        <f t="shared" si="1"/>
        <v>Standard</v>
      </c>
    </row>
    <row r="75" spans="1:12" x14ac:dyDescent="0.3">
      <c r="A75" s="5" t="s">
        <v>220</v>
      </c>
      <c r="B75" s="4">
        <v>124</v>
      </c>
      <c r="C75" s="4">
        <v>27</v>
      </c>
      <c r="D75" s="4" t="s">
        <v>221</v>
      </c>
      <c r="E75" s="4">
        <v>499</v>
      </c>
      <c r="F75" s="5" t="s">
        <v>69</v>
      </c>
      <c r="G75" s="5" t="s">
        <v>70</v>
      </c>
      <c r="H75" s="4">
        <v>62</v>
      </c>
      <c r="I75" s="12" t="str">
        <f>IFERROR(VLOOKUP($C75,Merchants!$A$2:$D$41,2,FALSE),"Merchant not found")</f>
        <v>Merchant_027</v>
      </c>
      <c r="J75" s="12" t="str">
        <f>IFERROR(VLOOKUP($C75,Merchants!$A$2:$D$41,3,FALSE),"Merchant not found")</f>
        <v>ecommerce</v>
      </c>
      <c r="K75" s="12" t="str">
        <f>IFERROR(VLOOKUP($C75,Merchants!$A$2:$D$41,4,FALSE),"Merchant not found")</f>
        <v>North</v>
      </c>
      <c r="L75" s="13" t="str">
        <f t="shared" si="1"/>
        <v>Standard</v>
      </c>
    </row>
    <row r="76" spans="1:12" x14ac:dyDescent="0.3">
      <c r="A76" s="3" t="s">
        <v>222</v>
      </c>
      <c r="B76" s="2">
        <v>244</v>
      </c>
      <c r="C76" s="2">
        <v>32</v>
      </c>
      <c r="D76" s="2" t="s">
        <v>223</v>
      </c>
      <c r="E76" s="2">
        <v>149</v>
      </c>
      <c r="F76" s="3" t="s">
        <v>73</v>
      </c>
      <c r="G76" s="3" t="s">
        <v>70</v>
      </c>
      <c r="H76" s="2">
        <v>57</v>
      </c>
      <c r="I76" s="10" t="str">
        <f>IFERROR(VLOOKUP($C76,Merchants!$A$2:$D$41,2,FALSE),"Merchant not found")</f>
        <v>Merchant_032</v>
      </c>
      <c r="J76" s="10" t="str">
        <f>IFERROR(VLOOKUP($C76,Merchants!$A$2:$D$41,3,FALSE),"Merchant not found")</f>
        <v>food_delivery</v>
      </c>
      <c r="K76" s="10" t="str">
        <f>IFERROR(VLOOKUP($C76,Merchants!$A$2:$D$41,4,FALSE),"Merchant not found")</f>
        <v>West</v>
      </c>
      <c r="L76" s="11" t="str">
        <f t="shared" si="1"/>
        <v>Standard</v>
      </c>
    </row>
    <row r="77" spans="1:12" x14ac:dyDescent="0.3">
      <c r="A77" s="5" t="s">
        <v>224</v>
      </c>
      <c r="B77" s="4">
        <v>151</v>
      </c>
      <c r="C77" s="4">
        <v>15</v>
      </c>
      <c r="D77" s="4" t="s">
        <v>225</v>
      </c>
      <c r="E77" s="4">
        <v>4999</v>
      </c>
      <c r="F77" s="5" t="s">
        <v>73</v>
      </c>
      <c r="G77" s="5" t="s">
        <v>70</v>
      </c>
      <c r="H77" s="4">
        <v>51</v>
      </c>
      <c r="I77" s="12" t="str">
        <f>IFERROR(VLOOKUP($C77,Merchants!$A$2:$D$41,2,FALSE),"Merchant not found")</f>
        <v>Merchant_015</v>
      </c>
      <c r="J77" s="12" t="str">
        <f>IFERROR(VLOOKUP($C77,Merchants!$A$2:$D$41,3,FALSE),"Merchant not found")</f>
        <v>travel</v>
      </c>
      <c r="K77" s="12" t="str">
        <f>IFERROR(VLOOKUP($C77,Merchants!$A$2:$D$41,4,FALSE),"Merchant not found")</f>
        <v>North</v>
      </c>
      <c r="L77" s="13" t="str">
        <f t="shared" si="1"/>
        <v>Standard</v>
      </c>
    </row>
    <row r="78" spans="1:12" x14ac:dyDescent="0.3">
      <c r="A78" s="3" t="s">
        <v>226</v>
      </c>
      <c r="B78" s="2">
        <v>340</v>
      </c>
      <c r="C78" s="2">
        <v>38</v>
      </c>
      <c r="D78" s="2" t="s">
        <v>227</v>
      </c>
      <c r="E78" s="2">
        <v>499</v>
      </c>
      <c r="F78" s="3" t="s">
        <v>95</v>
      </c>
      <c r="G78" s="3" t="s">
        <v>70</v>
      </c>
      <c r="H78" s="2">
        <v>47</v>
      </c>
      <c r="I78" s="10" t="str">
        <f>IFERROR(VLOOKUP($C78,Merchants!$A$2:$D$41,2,FALSE),"Merchant not found")</f>
        <v>Merchant_038</v>
      </c>
      <c r="J78" s="10" t="str">
        <f>IFERROR(VLOOKUP($C78,Merchants!$A$2:$D$41,3,FALSE),"Merchant not found")</f>
        <v>grocery</v>
      </c>
      <c r="K78" s="10" t="str">
        <f>IFERROR(VLOOKUP($C78,Merchants!$A$2:$D$41,4,FALSE),"Merchant not found")</f>
        <v>East</v>
      </c>
      <c r="L78" s="11" t="str">
        <f t="shared" si="1"/>
        <v>Standard</v>
      </c>
    </row>
    <row r="79" spans="1:12" x14ac:dyDescent="0.3">
      <c r="A79" s="5" t="s">
        <v>228</v>
      </c>
      <c r="B79" s="4">
        <v>177</v>
      </c>
      <c r="C79" s="4">
        <v>28</v>
      </c>
      <c r="D79" s="4" t="s">
        <v>229</v>
      </c>
      <c r="E79" s="4">
        <v>299</v>
      </c>
      <c r="F79" s="5" t="s">
        <v>73</v>
      </c>
      <c r="G79" s="5" t="s">
        <v>70</v>
      </c>
      <c r="H79" s="4">
        <v>95</v>
      </c>
      <c r="I79" s="12" t="str">
        <f>IFERROR(VLOOKUP($C79,Merchants!$A$2:$D$41,2,FALSE),"Merchant not found")</f>
        <v>Merchant_028</v>
      </c>
      <c r="J79" s="12" t="str">
        <f>IFERROR(VLOOKUP($C79,Merchants!$A$2:$D$41,3,FALSE),"Merchant not found")</f>
        <v>ecommerce</v>
      </c>
      <c r="K79" s="12" t="str">
        <f>IFERROR(VLOOKUP($C79,Merchants!$A$2:$D$41,4,FALSE),"Merchant not found")</f>
        <v>South</v>
      </c>
      <c r="L79" s="13" t="str">
        <f t="shared" si="1"/>
        <v>Standard</v>
      </c>
    </row>
    <row r="80" spans="1:12" x14ac:dyDescent="0.3">
      <c r="A80" s="3" t="s">
        <v>230</v>
      </c>
      <c r="B80" s="2">
        <v>233</v>
      </c>
      <c r="C80" s="2">
        <v>18</v>
      </c>
      <c r="D80" s="2" t="s">
        <v>231</v>
      </c>
      <c r="E80" s="2">
        <v>499</v>
      </c>
      <c r="F80" s="3" t="s">
        <v>73</v>
      </c>
      <c r="G80" s="3" t="s">
        <v>70</v>
      </c>
      <c r="H80" s="2">
        <v>39</v>
      </c>
      <c r="I80" s="10" t="str">
        <f>IFERROR(VLOOKUP($C80,Merchants!$A$2:$D$41,2,FALSE),"Merchant not found")</f>
        <v>Merchant_018</v>
      </c>
      <c r="J80" s="10" t="str">
        <f>IFERROR(VLOOKUP($C80,Merchants!$A$2:$D$41,3,FALSE),"Merchant not found")</f>
        <v>grocery</v>
      </c>
      <c r="K80" s="10" t="str">
        <f>IFERROR(VLOOKUP($C80,Merchants!$A$2:$D$41,4,FALSE),"Merchant not found")</f>
        <v>West</v>
      </c>
      <c r="L80" s="11" t="str">
        <f t="shared" si="1"/>
        <v>Standard</v>
      </c>
    </row>
    <row r="81" spans="1:12" x14ac:dyDescent="0.3">
      <c r="A81" s="5" t="s">
        <v>232</v>
      </c>
      <c r="B81" s="4">
        <v>99</v>
      </c>
      <c r="C81" s="4">
        <v>21</v>
      </c>
      <c r="D81" s="4" t="s">
        <v>233</v>
      </c>
      <c r="E81" s="4">
        <v>499</v>
      </c>
      <c r="F81" s="5" t="s">
        <v>73</v>
      </c>
      <c r="G81" s="5" t="s">
        <v>70</v>
      </c>
      <c r="H81" s="4">
        <v>15</v>
      </c>
      <c r="I81" s="12" t="str">
        <f>IFERROR(VLOOKUP($C81,Merchants!$A$2:$D$41,2,FALSE),"Merchant not found")</f>
        <v>Merchant_021</v>
      </c>
      <c r="J81" s="12" t="str">
        <f>IFERROR(VLOOKUP($C81,Merchants!$A$2:$D$41,3,FALSE),"Merchant not found")</f>
        <v>food_delivery</v>
      </c>
      <c r="K81" s="12" t="str">
        <f>IFERROR(VLOOKUP($C81,Merchants!$A$2:$D$41,4,FALSE),"Merchant not found")</f>
        <v>East</v>
      </c>
      <c r="L81" s="13" t="str">
        <f t="shared" si="1"/>
        <v>Standard</v>
      </c>
    </row>
    <row r="82" spans="1:12" x14ac:dyDescent="0.3">
      <c r="A82" s="3" t="s">
        <v>234</v>
      </c>
      <c r="B82" s="2">
        <v>95</v>
      </c>
      <c r="C82" s="2">
        <v>13</v>
      </c>
      <c r="D82" s="2" t="s">
        <v>235</v>
      </c>
      <c r="E82" s="2">
        <v>2999</v>
      </c>
      <c r="F82" s="3" t="s">
        <v>78</v>
      </c>
      <c r="G82" s="3" t="s">
        <v>96</v>
      </c>
      <c r="H82" s="2">
        <v>27</v>
      </c>
      <c r="I82" s="10" t="str">
        <f>IFERROR(VLOOKUP($C82,Merchants!$A$2:$D$41,2,FALSE),"Merchant not found")</f>
        <v>Merchant_013</v>
      </c>
      <c r="J82" s="10" t="str">
        <f>IFERROR(VLOOKUP($C82,Merchants!$A$2:$D$41,3,FALSE),"Merchant not found")</f>
        <v>travel</v>
      </c>
      <c r="K82" s="10" t="str">
        <f>IFERROR(VLOOKUP($C82,Merchants!$A$2:$D$41,4,FALSE),"Merchant not found")</f>
        <v>East</v>
      </c>
      <c r="L82" s="11" t="str">
        <f t="shared" si="1"/>
        <v>Standard</v>
      </c>
    </row>
    <row r="83" spans="1:12" x14ac:dyDescent="0.3">
      <c r="A83" s="5" t="s">
        <v>236</v>
      </c>
      <c r="B83" s="4">
        <v>302</v>
      </c>
      <c r="C83" s="4">
        <v>34</v>
      </c>
      <c r="D83" s="4" t="s">
        <v>237</v>
      </c>
      <c r="E83" s="4">
        <v>49</v>
      </c>
      <c r="F83" s="5" t="s">
        <v>78</v>
      </c>
      <c r="G83" s="5" t="s">
        <v>70</v>
      </c>
      <c r="H83" s="4">
        <v>76</v>
      </c>
      <c r="I83" s="12" t="str">
        <f>IFERROR(VLOOKUP($C83,Merchants!$A$2:$D$41,2,FALSE),"Merchant not found")</f>
        <v>Merchant_034</v>
      </c>
      <c r="J83" s="12" t="str">
        <f>IFERROR(VLOOKUP($C83,Merchants!$A$2:$D$41,3,FALSE),"Merchant not found")</f>
        <v>travel</v>
      </c>
      <c r="K83" s="12" t="str">
        <f>IFERROR(VLOOKUP($C83,Merchants!$A$2:$D$41,4,FALSE),"Merchant not found")</f>
        <v>South</v>
      </c>
      <c r="L83" s="13" t="str">
        <f t="shared" si="1"/>
        <v>Standard</v>
      </c>
    </row>
    <row r="84" spans="1:12" x14ac:dyDescent="0.3">
      <c r="A84" s="3" t="s">
        <v>238</v>
      </c>
      <c r="B84" s="2">
        <v>100</v>
      </c>
      <c r="C84" s="2">
        <v>19</v>
      </c>
      <c r="D84" s="2" t="s">
        <v>239</v>
      </c>
      <c r="E84" s="2">
        <v>2999</v>
      </c>
      <c r="F84" s="3" t="s">
        <v>78</v>
      </c>
      <c r="G84" s="3" t="s">
        <v>70</v>
      </c>
      <c r="H84" s="2">
        <v>29</v>
      </c>
      <c r="I84" s="10" t="str">
        <f>IFERROR(VLOOKUP($C84,Merchants!$A$2:$D$41,2,FALSE),"Merchant not found")</f>
        <v>Merchant_019</v>
      </c>
      <c r="J84" s="10" t="str">
        <f>IFERROR(VLOOKUP($C84,Merchants!$A$2:$D$41,3,FALSE),"Merchant not found")</f>
        <v>grocery</v>
      </c>
      <c r="K84" s="10" t="str">
        <f>IFERROR(VLOOKUP($C84,Merchants!$A$2:$D$41,4,FALSE),"Merchant not found")</f>
        <v>North</v>
      </c>
      <c r="L84" s="11" t="str">
        <f t="shared" si="1"/>
        <v>Standard</v>
      </c>
    </row>
    <row r="85" spans="1:12" x14ac:dyDescent="0.3">
      <c r="A85" s="5" t="s">
        <v>240</v>
      </c>
      <c r="B85" s="4">
        <v>8</v>
      </c>
      <c r="C85" s="4">
        <v>35</v>
      </c>
      <c r="D85" s="4" t="s">
        <v>241</v>
      </c>
      <c r="E85" s="4">
        <v>99</v>
      </c>
      <c r="F85" s="5" t="s">
        <v>73</v>
      </c>
      <c r="G85" s="5" t="s">
        <v>70</v>
      </c>
      <c r="H85" s="4">
        <v>16</v>
      </c>
      <c r="I85" s="12" t="str">
        <f>IFERROR(VLOOKUP($C85,Merchants!$A$2:$D$41,2,FALSE),"Merchant not found")</f>
        <v>Merchant_035</v>
      </c>
      <c r="J85" s="12" t="str">
        <f>IFERROR(VLOOKUP($C85,Merchants!$A$2:$D$41,3,FALSE),"Merchant not found")</f>
        <v>recharge</v>
      </c>
      <c r="K85" s="12" t="str">
        <f>IFERROR(VLOOKUP($C85,Merchants!$A$2:$D$41,4,FALSE),"Merchant not found")</f>
        <v>East</v>
      </c>
      <c r="L85" s="13" t="str">
        <f t="shared" si="1"/>
        <v>Standard</v>
      </c>
    </row>
    <row r="86" spans="1:12" x14ac:dyDescent="0.3">
      <c r="A86" s="3" t="s">
        <v>242</v>
      </c>
      <c r="B86" s="2">
        <v>284</v>
      </c>
      <c r="C86" s="2">
        <v>19</v>
      </c>
      <c r="D86" s="2" t="s">
        <v>243</v>
      </c>
      <c r="E86" s="2">
        <v>99</v>
      </c>
      <c r="F86" s="3" t="s">
        <v>73</v>
      </c>
      <c r="G86" s="3" t="s">
        <v>70</v>
      </c>
      <c r="H86" s="2">
        <v>89</v>
      </c>
      <c r="I86" s="10" t="str">
        <f>IFERROR(VLOOKUP($C86,Merchants!$A$2:$D$41,2,FALSE),"Merchant not found")</f>
        <v>Merchant_019</v>
      </c>
      <c r="J86" s="10" t="str">
        <f>IFERROR(VLOOKUP($C86,Merchants!$A$2:$D$41,3,FALSE),"Merchant not found")</f>
        <v>grocery</v>
      </c>
      <c r="K86" s="10" t="str">
        <f>IFERROR(VLOOKUP($C86,Merchants!$A$2:$D$41,4,FALSE),"Merchant not found")</f>
        <v>North</v>
      </c>
      <c r="L86" s="11" t="str">
        <f t="shared" si="1"/>
        <v>Standard</v>
      </c>
    </row>
    <row r="87" spans="1:12" x14ac:dyDescent="0.3">
      <c r="A87" s="5" t="s">
        <v>244</v>
      </c>
      <c r="B87" s="4">
        <v>252</v>
      </c>
      <c r="C87" s="4">
        <v>7</v>
      </c>
      <c r="D87" s="4" t="s">
        <v>245</v>
      </c>
      <c r="E87" s="4">
        <v>2999</v>
      </c>
      <c r="F87" s="5" t="s">
        <v>69</v>
      </c>
      <c r="G87" s="5" t="s">
        <v>70</v>
      </c>
      <c r="H87" s="4">
        <v>1</v>
      </c>
      <c r="I87" s="12" t="str">
        <f>IFERROR(VLOOKUP($C87,Merchants!$A$2:$D$41,2,FALSE),"Merchant not found")</f>
        <v>Merchant_007</v>
      </c>
      <c r="J87" s="12" t="str">
        <f>IFERROR(VLOOKUP($C87,Merchants!$A$2:$D$41,3,FALSE),"Merchant not found")</f>
        <v>food_delivery</v>
      </c>
      <c r="K87" s="12" t="str">
        <f>IFERROR(VLOOKUP($C87,Merchants!$A$2:$D$41,4,FALSE),"Merchant not found")</f>
        <v>East</v>
      </c>
      <c r="L87" s="13" t="str">
        <f t="shared" si="1"/>
        <v>Standard</v>
      </c>
    </row>
    <row r="88" spans="1:12" x14ac:dyDescent="0.3">
      <c r="A88" s="3" t="s">
        <v>246</v>
      </c>
      <c r="B88" s="2">
        <v>246</v>
      </c>
      <c r="C88" s="2">
        <v>29</v>
      </c>
      <c r="D88" s="2" t="s">
        <v>247</v>
      </c>
      <c r="E88" s="2">
        <v>49</v>
      </c>
      <c r="F88" s="3" t="s">
        <v>69</v>
      </c>
      <c r="G88" s="3" t="s">
        <v>70</v>
      </c>
      <c r="H88" s="2">
        <v>43</v>
      </c>
      <c r="I88" s="10" t="str">
        <f>IFERROR(VLOOKUP($C88,Merchants!$A$2:$D$41,2,FALSE),"Merchant not found")</f>
        <v>Merchant_029</v>
      </c>
      <c r="J88" s="10" t="str">
        <f>IFERROR(VLOOKUP($C88,Merchants!$A$2:$D$41,3,FALSE),"Merchant not found")</f>
        <v>ecommerce</v>
      </c>
      <c r="K88" s="10" t="str">
        <f>IFERROR(VLOOKUP($C88,Merchants!$A$2:$D$41,4,FALSE),"Merchant not found")</f>
        <v>North</v>
      </c>
      <c r="L88" s="11" t="str">
        <f t="shared" si="1"/>
        <v>Standard</v>
      </c>
    </row>
    <row r="89" spans="1:12" x14ac:dyDescent="0.3">
      <c r="A89" s="5" t="s">
        <v>248</v>
      </c>
      <c r="B89" s="4">
        <v>245</v>
      </c>
      <c r="C89" s="4">
        <v>8</v>
      </c>
      <c r="D89" s="4" t="s">
        <v>249</v>
      </c>
      <c r="E89" s="4">
        <v>49</v>
      </c>
      <c r="F89" s="5" t="s">
        <v>73</v>
      </c>
      <c r="G89" s="5" t="s">
        <v>121</v>
      </c>
      <c r="H89" s="4">
        <v>8</v>
      </c>
      <c r="I89" s="12" t="str">
        <f>IFERROR(VLOOKUP($C89,Merchants!$A$2:$D$41,2,FALSE),"Merchant not found")</f>
        <v>Merchant_008</v>
      </c>
      <c r="J89" s="12" t="str">
        <f>IFERROR(VLOOKUP($C89,Merchants!$A$2:$D$41,3,FALSE),"Merchant not found")</f>
        <v>food_delivery</v>
      </c>
      <c r="K89" s="12" t="str">
        <f>IFERROR(VLOOKUP($C89,Merchants!$A$2:$D$41,4,FALSE),"Merchant not found")</f>
        <v>North</v>
      </c>
      <c r="L89" s="13" t="str">
        <f t="shared" si="1"/>
        <v>Standard</v>
      </c>
    </row>
    <row r="90" spans="1:12" x14ac:dyDescent="0.3">
      <c r="A90" s="3" t="s">
        <v>250</v>
      </c>
      <c r="B90" s="2">
        <v>296</v>
      </c>
      <c r="C90" s="2">
        <v>4</v>
      </c>
      <c r="D90" s="2" t="s">
        <v>251</v>
      </c>
      <c r="E90" s="2">
        <v>799</v>
      </c>
      <c r="F90" s="3" t="s">
        <v>69</v>
      </c>
      <c r="G90" s="3" t="s">
        <v>70</v>
      </c>
      <c r="H90" s="2">
        <v>19</v>
      </c>
      <c r="I90" s="10" t="str">
        <f>IFERROR(VLOOKUP($C90,Merchants!$A$2:$D$41,2,FALSE),"Merchant not found")</f>
        <v>Merchant_004</v>
      </c>
      <c r="J90" s="10" t="str">
        <f>IFERROR(VLOOKUP($C90,Merchants!$A$2:$D$41,3,FALSE),"Merchant not found")</f>
        <v>ecommerce</v>
      </c>
      <c r="K90" s="10" t="str">
        <f>IFERROR(VLOOKUP($C90,Merchants!$A$2:$D$41,4,FALSE),"Merchant not found")</f>
        <v>East</v>
      </c>
      <c r="L90" s="11" t="str">
        <f t="shared" si="1"/>
        <v>Standard</v>
      </c>
    </row>
    <row r="91" spans="1:12" x14ac:dyDescent="0.3">
      <c r="A91" s="5" t="s">
        <v>252</v>
      </c>
      <c r="B91" s="4">
        <v>44</v>
      </c>
      <c r="C91" s="4">
        <v>16</v>
      </c>
      <c r="D91" s="4" t="s">
        <v>253</v>
      </c>
      <c r="E91" s="4">
        <v>149</v>
      </c>
      <c r="F91" s="5" t="s">
        <v>73</v>
      </c>
      <c r="G91" s="5" t="s">
        <v>70</v>
      </c>
      <c r="H91" s="4">
        <v>15</v>
      </c>
      <c r="I91" s="12" t="str">
        <f>IFERROR(VLOOKUP($C91,Merchants!$A$2:$D$41,2,FALSE),"Merchant not found")</f>
        <v>Merchant_016</v>
      </c>
      <c r="J91" s="12" t="str">
        <f>IFERROR(VLOOKUP($C91,Merchants!$A$2:$D$41,3,FALSE),"Merchant not found")</f>
        <v>bill_payment</v>
      </c>
      <c r="K91" s="12" t="str">
        <f>IFERROR(VLOOKUP($C91,Merchants!$A$2:$D$41,4,FALSE),"Merchant not found")</f>
        <v>West</v>
      </c>
      <c r="L91" s="13" t="str">
        <f t="shared" si="1"/>
        <v>Standard</v>
      </c>
    </row>
    <row r="92" spans="1:12" x14ac:dyDescent="0.3">
      <c r="A92" s="3" t="s">
        <v>254</v>
      </c>
      <c r="B92" s="2">
        <v>306</v>
      </c>
      <c r="C92" s="2">
        <v>40</v>
      </c>
      <c r="D92" s="2" t="s">
        <v>255</v>
      </c>
      <c r="E92" s="2">
        <v>799</v>
      </c>
      <c r="F92" s="3" t="s">
        <v>95</v>
      </c>
      <c r="G92" s="3" t="s">
        <v>70</v>
      </c>
      <c r="H92" s="2">
        <v>28</v>
      </c>
      <c r="I92" s="10" t="str">
        <f>IFERROR(VLOOKUP($C92,Merchants!$A$2:$D$41,2,FALSE),"Merchant not found")</f>
        <v>Merchant_040</v>
      </c>
      <c r="J92" s="10" t="str">
        <f>IFERROR(VLOOKUP($C92,Merchants!$A$2:$D$41,3,FALSE),"Merchant not found")</f>
        <v>entertainment</v>
      </c>
      <c r="K92" s="10" t="str">
        <f>IFERROR(VLOOKUP($C92,Merchants!$A$2:$D$41,4,FALSE),"Merchant not found")</f>
        <v>South</v>
      </c>
      <c r="L92" s="11" t="str">
        <f t="shared" si="1"/>
        <v>Standard</v>
      </c>
    </row>
    <row r="93" spans="1:12" x14ac:dyDescent="0.3">
      <c r="A93" s="5" t="s">
        <v>256</v>
      </c>
      <c r="B93" s="4">
        <v>231</v>
      </c>
      <c r="C93" s="4">
        <v>29</v>
      </c>
      <c r="D93" s="4" t="s">
        <v>257</v>
      </c>
      <c r="E93" s="4">
        <v>299</v>
      </c>
      <c r="F93" s="5" t="s">
        <v>73</v>
      </c>
      <c r="G93" s="5" t="s">
        <v>70</v>
      </c>
      <c r="H93" s="4">
        <v>38</v>
      </c>
      <c r="I93" s="12" t="str">
        <f>IFERROR(VLOOKUP($C93,Merchants!$A$2:$D$41,2,FALSE),"Merchant not found")</f>
        <v>Merchant_029</v>
      </c>
      <c r="J93" s="12" t="str">
        <f>IFERROR(VLOOKUP($C93,Merchants!$A$2:$D$41,3,FALSE),"Merchant not found")</f>
        <v>ecommerce</v>
      </c>
      <c r="K93" s="12" t="str">
        <f>IFERROR(VLOOKUP($C93,Merchants!$A$2:$D$41,4,FALSE),"Merchant not found")</f>
        <v>North</v>
      </c>
      <c r="L93" s="13" t="str">
        <f t="shared" si="1"/>
        <v>Standard</v>
      </c>
    </row>
    <row r="94" spans="1:12" x14ac:dyDescent="0.3">
      <c r="A94" s="3" t="s">
        <v>258</v>
      </c>
      <c r="B94" s="2">
        <v>157</v>
      </c>
      <c r="C94" s="2">
        <v>37</v>
      </c>
      <c r="D94" s="2" t="s">
        <v>259</v>
      </c>
      <c r="E94" s="2">
        <v>499</v>
      </c>
      <c r="F94" s="3" t="s">
        <v>69</v>
      </c>
      <c r="G94" s="3" t="s">
        <v>70</v>
      </c>
      <c r="H94" s="2">
        <v>79</v>
      </c>
      <c r="I94" s="10" t="str">
        <f>IFERROR(VLOOKUP($C94,Merchants!$A$2:$D$41,2,FALSE),"Merchant not found")</f>
        <v>Merchant_037</v>
      </c>
      <c r="J94" s="10" t="str">
        <f>IFERROR(VLOOKUP($C94,Merchants!$A$2:$D$41,3,FALSE),"Merchant not found")</f>
        <v>entertainment</v>
      </c>
      <c r="K94" s="10" t="str">
        <f>IFERROR(VLOOKUP($C94,Merchants!$A$2:$D$41,4,FALSE),"Merchant not found")</f>
        <v>South</v>
      </c>
      <c r="L94" s="11" t="str">
        <f t="shared" si="1"/>
        <v>Standard</v>
      </c>
    </row>
    <row r="95" spans="1:12" x14ac:dyDescent="0.3">
      <c r="A95" s="5" t="s">
        <v>260</v>
      </c>
      <c r="B95" s="4">
        <v>51</v>
      </c>
      <c r="C95" s="4">
        <v>14</v>
      </c>
      <c r="D95" s="4" t="s">
        <v>261</v>
      </c>
      <c r="E95" s="4">
        <v>1499</v>
      </c>
      <c r="F95" s="5" t="s">
        <v>73</v>
      </c>
      <c r="G95" s="5" t="s">
        <v>70</v>
      </c>
      <c r="H95" s="4">
        <v>80</v>
      </c>
      <c r="I95" s="12" t="str">
        <f>IFERROR(VLOOKUP($C95,Merchants!$A$2:$D$41,2,FALSE),"Merchant not found")</f>
        <v>Merchant_014</v>
      </c>
      <c r="J95" s="12" t="str">
        <f>IFERROR(VLOOKUP($C95,Merchants!$A$2:$D$41,3,FALSE),"Merchant not found")</f>
        <v>grocery</v>
      </c>
      <c r="K95" s="12" t="str">
        <f>IFERROR(VLOOKUP($C95,Merchants!$A$2:$D$41,4,FALSE),"Merchant not found")</f>
        <v>East</v>
      </c>
      <c r="L95" s="13" t="str">
        <f t="shared" si="1"/>
        <v>Standard</v>
      </c>
    </row>
    <row r="96" spans="1:12" x14ac:dyDescent="0.3">
      <c r="A96" s="3" t="s">
        <v>262</v>
      </c>
      <c r="B96" s="2">
        <v>42</v>
      </c>
      <c r="C96" s="2">
        <v>11</v>
      </c>
      <c r="D96" s="2" t="s">
        <v>263</v>
      </c>
      <c r="E96" s="2">
        <v>49</v>
      </c>
      <c r="F96" s="3" t="s">
        <v>69</v>
      </c>
      <c r="G96" s="3" t="s">
        <v>70</v>
      </c>
      <c r="H96" s="2">
        <v>30</v>
      </c>
      <c r="I96" s="10" t="str">
        <f>IFERROR(VLOOKUP($C96,Merchants!$A$2:$D$41,2,FALSE),"Merchant not found")</f>
        <v>Merchant_011</v>
      </c>
      <c r="J96" s="10" t="str">
        <f>IFERROR(VLOOKUP($C96,Merchants!$A$2:$D$41,3,FALSE),"Merchant not found")</f>
        <v>ecommerce</v>
      </c>
      <c r="K96" s="10" t="str">
        <f>IFERROR(VLOOKUP($C96,Merchants!$A$2:$D$41,4,FALSE),"Merchant not found")</f>
        <v>North</v>
      </c>
      <c r="L96" s="11" t="str">
        <f t="shared" si="1"/>
        <v>Standard</v>
      </c>
    </row>
    <row r="97" spans="1:12" x14ac:dyDescent="0.3">
      <c r="A97" s="5" t="s">
        <v>264</v>
      </c>
      <c r="B97" s="4">
        <v>81</v>
      </c>
      <c r="C97" s="4">
        <v>1</v>
      </c>
      <c r="D97" s="4" t="s">
        <v>265</v>
      </c>
      <c r="E97" s="4">
        <v>149</v>
      </c>
      <c r="F97" s="5" t="s">
        <v>73</v>
      </c>
      <c r="G97" s="5" t="s">
        <v>70</v>
      </c>
      <c r="H97" s="4">
        <v>52</v>
      </c>
      <c r="I97" s="12" t="str">
        <f>IFERROR(VLOOKUP($C97,Merchants!$A$2:$D$41,2,FALSE),"Merchant not found")</f>
        <v>Merchant_001</v>
      </c>
      <c r="J97" s="12" t="str">
        <f>IFERROR(VLOOKUP($C97,Merchants!$A$2:$D$41,3,FALSE),"Merchant not found")</f>
        <v>ecommerce</v>
      </c>
      <c r="K97" s="12" t="str">
        <f>IFERROR(VLOOKUP($C97,Merchants!$A$2:$D$41,4,FALSE),"Merchant not found")</f>
        <v>South</v>
      </c>
      <c r="L97" s="13" t="str">
        <f t="shared" si="1"/>
        <v>Standard</v>
      </c>
    </row>
    <row r="98" spans="1:12" x14ac:dyDescent="0.3">
      <c r="A98" s="3" t="s">
        <v>266</v>
      </c>
      <c r="B98" s="2">
        <v>241</v>
      </c>
      <c r="C98" s="2">
        <v>19</v>
      </c>
      <c r="D98" s="2" t="s">
        <v>267</v>
      </c>
      <c r="E98" s="2">
        <v>299</v>
      </c>
      <c r="F98" s="3" t="s">
        <v>73</v>
      </c>
      <c r="G98" s="3" t="s">
        <v>70</v>
      </c>
      <c r="H98" s="2">
        <v>4</v>
      </c>
      <c r="I98" s="10" t="str">
        <f>IFERROR(VLOOKUP($C98,Merchants!$A$2:$D$41,2,FALSE),"Merchant not found")</f>
        <v>Merchant_019</v>
      </c>
      <c r="J98" s="10" t="str">
        <f>IFERROR(VLOOKUP($C98,Merchants!$A$2:$D$41,3,FALSE),"Merchant not found")</f>
        <v>grocery</v>
      </c>
      <c r="K98" s="10" t="str">
        <f>IFERROR(VLOOKUP($C98,Merchants!$A$2:$D$41,4,FALSE),"Merchant not found")</f>
        <v>North</v>
      </c>
      <c r="L98" s="11" t="str">
        <f t="shared" si="1"/>
        <v>Standard</v>
      </c>
    </row>
    <row r="99" spans="1:12" x14ac:dyDescent="0.3">
      <c r="A99" s="5" t="s">
        <v>268</v>
      </c>
      <c r="B99" s="4">
        <v>145</v>
      </c>
      <c r="C99" s="4">
        <v>30</v>
      </c>
      <c r="D99" s="4" t="s">
        <v>269</v>
      </c>
      <c r="E99" s="4">
        <v>799</v>
      </c>
      <c r="F99" s="5" t="s">
        <v>73</v>
      </c>
      <c r="G99" s="5" t="s">
        <v>70</v>
      </c>
      <c r="H99" s="4">
        <v>9</v>
      </c>
      <c r="I99" s="12" t="str">
        <f>IFERROR(VLOOKUP($C99,Merchants!$A$2:$D$41,2,FALSE),"Merchant not found")</f>
        <v>Merchant_030</v>
      </c>
      <c r="J99" s="12" t="str">
        <f>IFERROR(VLOOKUP($C99,Merchants!$A$2:$D$41,3,FALSE),"Merchant not found")</f>
        <v>travel</v>
      </c>
      <c r="K99" s="12" t="str">
        <f>IFERROR(VLOOKUP($C99,Merchants!$A$2:$D$41,4,FALSE),"Merchant not found")</f>
        <v>West</v>
      </c>
      <c r="L99" s="13" t="str">
        <f t="shared" si="1"/>
        <v>Standard</v>
      </c>
    </row>
    <row r="100" spans="1:12" x14ac:dyDescent="0.3">
      <c r="A100" s="3" t="s">
        <v>270</v>
      </c>
      <c r="B100" s="2">
        <v>136</v>
      </c>
      <c r="C100" s="2">
        <v>38</v>
      </c>
      <c r="D100" s="2" t="s">
        <v>271</v>
      </c>
      <c r="E100" s="2">
        <v>299</v>
      </c>
      <c r="F100" s="3" t="s">
        <v>95</v>
      </c>
      <c r="G100" s="3" t="s">
        <v>70</v>
      </c>
      <c r="H100" s="2">
        <v>84</v>
      </c>
      <c r="I100" s="10" t="str">
        <f>IFERROR(VLOOKUP($C100,Merchants!$A$2:$D$41,2,FALSE),"Merchant not found")</f>
        <v>Merchant_038</v>
      </c>
      <c r="J100" s="10" t="str">
        <f>IFERROR(VLOOKUP($C100,Merchants!$A$2:$D$41,3,FALSE),"Merchant not found")</f>
        <v>grocery</v>
      </c>
      <c r="K100" s="10" t="str">
        <f>IFERROR(VLOOKUP($C100,Merchants!$A$2:$D$41,4,FALSE),"Merchant not found")</f>
        <v>East</v>
      </c>
      <c r="L100" s="11" t="str">
        <f t="shared" si="1"/>
        <v>Standard</v>
      </c>
    </row>
    <row r="101" spans="1:12" x14ac:dyDescent="0.3">
      <c r="A101" s="5" t="s">
        <v>272</v>
      </c>
      <c r="B101" s="4">
        <v>59</v>
      </c>
      <c r="C101" s="4">
        <v>35</v>
      </c>
      <c r="D101" s="4" t="s">
        <v>273</v>
      </c>
      <c r="E101" s="4">
        <v>499</v>
      </c>
      <c r="F101" s="5" t="s">
        <v>73</v>
      </c>
      <c r="G101" s="5" t="s">
        <v>70</v>
      </c>
      <c r="H101" s="4">
        <v>28</v>
      </c>
      <c r="I101" s="12" t="str">
        <f>IFERROR(VLOOKUP($C101,Merchants!$A$2:$D$41,2,FALSE),"Merchant not found")</f>
        <v>Merchant_035</v>
      </c>
      <c r="J101" s="12" t="str">
        <f>IFERROR(VLOOKUP($C101,Merchants!$A$2:$D$41,3,FALSE),"Merchant not found")</f>
        <v>recharge</v>
      </c>
      <c r="K101" s="12" t="str">
        <f>IFERROR(VLOOKUP($C101,Merchants!$A$2:$D$41,4,FALSE),"Merchant not found")</f>
        <v>East</v>
      </c>
      <c r="L101" s="13" t="str">
        <f t="shared" si="1"/>
        <v>Standard</v>
      </c>
    </row>
    <row r="102" spans="1:12" x14ac:dyDescent="0.3">
      <c r="A102" s="3" t="s">
        <v>274</v>
      </c>
      <c r="B102" s="2">
        <v>137</v>
      </c>
      <c r="C102" s="2">
        <v>10</v>
      </c>
      <c r="D102" s="2" t="s">
        <v>275</v>
      </c>
      <c r="E102" s="2">
        <v>299</v>
      </c>
      <c r="F102" s="3" t="s">
        <v>73</v>
      </c>
      <c r="G102" s="3" t="s">
        <v>70</v>
      </c>
      <c r="H102" s="2">
        <v>9</v>
      </c>
      <c r="I102" s="10" t="str">
        <f>IFERROR(VLOOKUP($C102,Merchants!$A$2:$D$41,2,FALSE),"Merchant not found")</f>
        <v>Merchant_010</v>
      </c>
      <c r="J102" s="10" t="str">
        <f>IFERROR(VLOOKUP($C102,Merchants!$A$2:$D$41,3,FALSE),"Merchant not found")</f>
        <v>grocery</v>
      </c>
      <c r="K102" s="10" t="str">
        <f>IFERROR(VLOOKUP($C102,Merchants!$A$2:$D$41,4,FALSE),"Merchant not found")</f>
        <v>West</v>
      </c>
      <c r="L102" s="11" t="str">
        <f t="shared" si="1"/>
        <v>Standard</v>
      </c>
    </row>
    <row r="103" spans="1:12" x14ac:dyDescent="0.3">
      <c r="A103" s="5" t="s">
        <v>276</v>
      </c>
      <c r="B103" s="4">
        <v>158</v>
      </c>
      <c r="C103" s="4">
        <v>39</v>
      </c>
      <c r="D103" s="4" t="s">
        <v>277</v>
      </c>
      <c r="E103" s="4">
        <v>499</v>
      </c>
      <c r="F103" s="5" t="s">
        <v>78</v>
      </c>
      <c r="G103" s="5" t="s">
        <v>70</v>
      </c>
      <c r="H103" s="4">
        <v>95</v>
      </c>
      <c r="I103" s="12" t="str">
        <f>IFERROR(VLOOKUP($C103,Merchants!$A$2:$D$41,2,FALSE),"Merchant not found")</f>
        <v>Merchant_039</v>
      </c>
      <c r="J103" s="12" t="str">
        <f>IFERROR(VLOOKUP($C103,Merchants!$A$2:$D$41,3,FALSE),"Merchant not found")</f>
        <v>entertainment</v>
      </c>
      <c r="K103" s="12" t="str">
        <f>IFERROR(VLOOKUP($C103,Merchants!$A$2:$D$41,4,FALSE),"Merchant not found")</f>
        <v>North</v>
      </c>
      <c r="L103" s="13" t="str">
        <f t="shared" si="1"/>
        <v>Standard</v>
      </c>
    </row>
    <row r="104" spans="1:12" x14ac:dyDescent="0.3">
      <c r="A104" s="3" t="s">
        <v>278</v>
      </c>
      <c r="B104" s="2">
        <v>148</v>
      </c>
      <c r="C104" s="2">
        <v>29</v>
      </c>
      <c r="D104" s="2" t="s">
        <v>279</v>
      </c>
      <c r="E104" s="2">
        <v>99</v>
      </c>
      <c r="F104" s="3" t="s">
        <v>95</v>
      </c>
      <c r="G104" s="3" t="s">
        <v>70</v>
      </c>
      <c r="H104" s="2">
        <v>15</v>
      </c>
      <c r="I104" s="10" t="str">
        <f>IFERROR(VLOOKUP($C104,Merchants!$A$2:$D$41,2,FALSE),"Merchant not found")</f>
        <v>Merchant_029</v>
      </c>
      <c r="J104" s="10" t="str">
        <f>IFERROR(VLOOKUP($C104,Merchants!$A$2:$D$41,3,FALSE),"Merchant not found")</f>
        <v>ecommerce</v>
      </c>
      <c r="K104" s="10" t="str">
        <f>IFERROR(VLOOKUP($C104,Merchants!$A$2:$D$41,4,FALSE),"Merchant not found")</f>
        <v>North</v>
      </c>
      <c r="L104" s="11" t="str">
        <f t="shared" si="1"/>
        <v>Standard</v>
      </c>
    </row>
    <row r="105" spans="1:12" x14ac:dyDescent="0.3">
      <c r="A105" s="5" t="s">
        <v>280</v>
      </c>
      <c r="B105" s="4">
        <v>207</v>
      </c>
      <c r="C105" s="4">
        <v>18</v>
      </c>
      <c r="D105" s="4" t="s">
        <v>281</v>
      </c>
      <c r="E105" s="4">
        <v>149</v>
      </c>
      <c r="F105" s="5" t="s">
        <v>73</v>
      </c>
      <c r="G105" s="5" t="s">
        <v>70</v>
      </c>
      <c r="H105" s="4">
        <v>64</v>
      </c>
      <c r="I105" s="12" t="str">
        <f>IFERROR(VLOOKUP($C105,Merchants!$A$2:$D$41,2,FALSE),"Merchant not found")</f>
        <v>Merchant_018</v>
      </c>
      <c r="J105" s="12" t="str">
        <f>IFERROR(VLOOKUP($C105,Merchants!$A$2:$D$41,3,FALSE),"Merchant not found")</f>
        <v>grocery</v>
      </c>
      <c r="K105" s="12" t="str">
        <f>IFERROR(VLOOKUP($C105,Merchants!$A$2:$D$41,4,FALSE),"Merchant not found")</f>
        <v>West</v>
      </c>
      <c r="L105" s="13" t="str">
        <f t="shared" si="1"/>
        <v>Standard</v>
      </c>
    </row>
    <row r="106" spans="1:12" x14ac:dyDescent="0.3">
      <c r="A106" s="3" t="s">
        <v>282</v>
      </c>
      <c r="B106" s="2">
        <v>42</v>
      </c>
      <c r="C106" s="2">
        <v>39</v>
      </c>
      <c r="D106" s="2" t="s">
        <v>283</v>
      </c>
      <c r="E106" s="2">
        <v>2999</v>
      </c>
      <c r="F106" s="3" t="s">
        <v>95</v>
      </c>
      <c r="G106" s="3" t="s">
        <v>70</v>
      </c>
      <c r="H106" s="2">
        <v>5</v>
      </c>
      <c r="I106" s="10" t="str">
        <f>IFERROR(VLOOKUP($C106,Merchants!$A$2:$D$41,2,FALSE),"Merchant not found")</f>
        <v>Merchant_039</v>
      </c>
      <c r="J106" s="10" t="str">
        <f>IFERROR(VLOOKUP($C106,Merchants!$A$2:$D$41,3,FALSE),"Merchant not found")</f>
        <v>entertainment</v>
      </c>
      <c r="K106" s="10" t="str">
        <f>IFERROR(VLOOKUP($C106,Merchants!$A$2:$D$41,4,FALSE),"Merchant not found")</f>
        <v>North</v>
      </c>
      <c r="L106" s="11" t="str">
        <f t="shared" si="1"/>
        <v>Standard</v>
      </c>
    </row>
    <row r="107" spans="1:12" x14ac:dyDescent="0.3">
      <c r="A107" s="5" t="s">
        <v>284</v>
      </c>
      <c r="B107" s="4">
        <v>166</v>
      </c>
      <c r="C107" s="4">
        <v>39</v>
      </c>
      <c r="D107" s="4" t="s">
        <v>285</v>
      </c>
      <c r="E107" s="4">
        <v>149</v>
      </c>
      <c r="F107" s="5" t="s">
        <v>73</v>
      </c>
      <c r="G107" s="5" t="s">
        <v>70</v>
      </c>
      <c r="H107" s="4">
        <v>32</v>
      </c>
      <c r="I107" s="12" t="str">
        <f>IFERROR(VLOOKUP($C107,Merchants!$A$2:$D$41,2,FALSE),"Merchant not found")</f>
        <v>Merchant_039</v>
      </c>
      <c r="J107" s="12" t="str">
        <f>IFERROR(VLOOKUP($C107,Merchants!$A$2:$D$41,3,FALSE),"Merchant not found")</f>
        <v>entertainment</v>
      </c>
      <c r="K107" s="12" t="str">
        <f>IFERROR(VLOOKUP($C107,Merchants!$A$2:$D$41,4,FALSE),"Merchant not found")</f>
        <v>North</v>
      </c>
      <c r="L107" s="13" t="str">
        <f t="shared" si="1"/>
        <v>Standard</v>
      </c>
    </row>
    <row r="108" spans="1:12" x14ac:dyDescent="0.3">
      <c r="A108" s="3" t="s">
        <v>286</v>
      </c>
      <c r="B108" s="2">
        <v>346</v>
      </c>
      <c r="C108" s="2">
        <v>37</v>
      </c>
      <c r="D108" s="2" t="s">
        <v>287</v>
      </c>
      <c r="E108" s="2">
        <v>99</v>
      </c>
      <c r="F108" s="3" t="s">
        <v>73</v>
      </c>
      <c r="G108" s="3" t="s">
        <v>70</v>
      </c>
      <c r="H108" s="2">
        <v>75</v>
      </c>
      <c r="I108" s="10" t="str">
        <f>IFERROR(VLOOKUP($C108,Merchants!$A$2:$D$41,2,FALSE),"Merchant not found")</f>
        <v>Merchant_037</v>
      </c>
      <c r="J108" s="10" t="str">
        <f>IFERROR(VLOOKUP($C108,Merchants!$A$2:$D$41,3,FALSE),"Merchant not found")</f>
        <v>entertainment</v>
      </c>
      <c r="K108" s="10" t="str">
        <f>IFERROR(VLOOKUP($C108,Merchants!$A$2:$D$41,4,FALSE),"Merchant not found")</f>
        <v>South</v>
      </c>
      <c r="L108" s="11" t="str">
        <f t="shared" si="1"/>
        <v>Standard</v>
      </c>
    </row>
    <row r="109" spans="1:12" x14ac:dyDescent="0.3">
      <c r="A109" s="5" t="s">
        <v>288</v>
      </c>
      <c r="B109" s="4">
        <v>138</v>
      </c>
      <c r="C109" s="4">
        <v>37</v>
      </c>
      <c r="D109" s="4" t="s">
        <v>289</v>
      </c>
      <c r="E109" s="4">
        <v>499</v>
      </c>
      <c r="F109" s="5" t="s">
        <v>73</v>
      </c>
      <c r="G109" s="5" t="s">
        <v>70</v>
      </c>
      <c r="H109" s="4">
        <v>5</v>
      </c>
      <c r="I109" s="12" t="str">
        <f>IFERROR(VLOOKUP($C109,Merchants!$A$2:$D$41,2,FALSE),"Merchant not found")</f>
        <v>Merchant_037</v>
      </c>
      <c r="J109" s="12" t="str">
        <f>IFERROR(VLOOKUP($C109,Merchants!$A$2:$D$41,3,FALSE),"Merchant not found")</f>
        <v>entertainment</v>
      </c>
      <c r="K109" s="12" t="str">
        <f>IFERROR(VLOOKUP($C109,Merchants!$A$2:$D$41,4,FALSE),"Merchant not found")</f>
        <v>South</v>
      </c>
      <c r="L109" s="13" t="str">
        <f t="shared" si="1"/>
        <v>Standard</v>
      </c>
    </row>
    <row r="110" spans="1:12" x14ac:dyDescent="0.3">
      <c r="A110" s="3" t="s">
        <v>290</v>
      </c>
      <c r="B110" s="2">
        <v>266</v>
      </c>
      <c r="C110" s="2">
        <v>29</v>
      </c>
      <c r="D110" s="2" t="s">
        <v>291</v>
      </c>
      <c r="E110" s="2">
        <v>499</v>
      </c>
      <c r="F110" s="3" t="s">
        <v>69</v>
      </c>
      <c r="G110" s="3" t="s">
        <v>96</v>
      </c>
      <c r="H110" s="2">
        <v>35</v>
      </c>
      <c r="I110" s="10" t="str">
        <f>IFERROR(VLOOKUP($C110,Merchants!$A$2:$D$41,2,FALSE),"Merchant not found")</f>
        <v>Merchant_029</v>
      </c>
      <c r="J110" s="10" t="str">
        <f>IFERROR(VLOOKUP($C110,Merchants!$A$2:$D$41,3,FALSE),"Merchant not found")</f>
        <v>ecommerce</v>
      </c>
      <c r="K110" s="10" t="str">
        <f>IFERROR(VLOOKUP($C110,Merchants!$A$2:$D$41,4,FALSE),"Merchant not found")</f>
        <v>North</v>
      </c>
      <c r="L110" s="11" t="str">
        <f t="shared" si="1"/>
        <v>Standard</v>
      </c>
    </row>
    <row r="111" spans="1:12" x14ac:dyDescent="0.3">
      <c r="A111" s="5" t="s">
        <v>292</v>
      </c>
      <c r="B111" s="4">
        <v>326</v>
      </c>
      <c r="C111" s="4">
        <v>32</v>
      </c>
      <c r="D111" s="4" t="s">
        <v>293</v>
      </c>
      <c r="E111" s="4">
        <v>149</v>
      </c>
      <c r="F111" s="5" t="s">
        <v>73</v>
      </c>
      <c r="G111" s="5" t="s">
        <v>70</v>
      </c>
      <c r="H111" s="4">
        <v>11</v>
      </c>
      <c r="I111" s="12" t="str">
        <f>IFERROR(VLOOKUP($C111,Merchants!$A$2:$D$41,2,FALSE),"Merchant not found")</f>
        <v>Merchant_032</v>
      </c>
      <c r="J111" s="12" t="str">
        <f>IFERROR(VLOOKUP($C111,Merchants!$A$2:$D$41,3,FALSE),"Merchant not found")</f>
        <v>food_delivery</v>
      </c>
      <c r="K111" s="12" t="str">
        <f>IFERROR(VLOOKUP($C111,Merchants!$A$2:$D$41,4,FALSE),"Merchant not found")</f>
        <v>West</v>
      </c>
      <c r="L111" s="13" t="str">
        <f t="shared" si="1"/>
        <v>Standard</v>
      </c>
    </row>
    <row r="112" spans="1:12" x14ac:dyDescent="0.3">
      <c r="A112" s="3" t="s">
        <v>294</v>
      </c>
      <c r="B112" s="2">
        <v>171</v>
      </c>
      <c r="C112" s="2">
        <v>21</v>
      </c>
      <c r="D112" s="2" t="s">
        <v>295</v>
      </c>
      <c r="E112" s="2">
        <v>799</v>
      </c>
      <c r="F112" s="3" t="s">
        <v>73</v>
      </c>
      <c r="G112" s="3" t="s">
        <v>70</v>
      </c>
      <c r="H112" s="2">
        <v>85</v>
      </c>
      <c r="I112" s="10" t="str">
        <f>IFERROR(VLOOKUP($C112,Merchants!$A$2:$D$41,2,FALSE),"Merchant not found")</f>
        <v>Merchant_021</v>
      </c>
      <c r="J112" s="10" t="str">
        <f>IFERROR(VLOOKUP($C112,Merchants!$A$2:$D$41,3,FALSE),"Merchant not found")</f>
        <v>food_delivery</v>
      </c>
      <c r="K112" s="10" t="str">
        <f>IFERROR(VLOOKUP($C112,Merchants!$A$2:$D$41,4,FALSE),"Merchant not found")</f>
        <v>East</v>
      </c>
      <c r="L112" s="11" t="str">
        <f t="shared" si="1"/>
        <v>Standard</v>
      </c>
    </row>
    <row r="113" spans="1:12" x14ac:dyDescent="0.3">
      <c r="A113" s="5" t="s">
        <v>296</v>
      </c>
      <c r="B113" s="4">
        <v>211</v>
      </c>
      <c r="C113" s="4">
        <v>32</v>
      </c>
      <c r="D113" s="4" t="s">
        <v>297</v>
      </c>
      <c r="E113" s="4">
        <v>49</v>
      </c>
      <c r="F113" s="5" t="s">
        <v>73</v>
      </c>
      <c r="G113" s="5" t="s">
        <v>70</v>
      </c>
      <c r="H113" s="4">
        <v>36</v>
      </c>
      <c r="I113" s="12" t="str">
        <f>IFERROR(VLOOKUP($C113,Merchants!$A$2:$D$41,2,FALSE),"Merchant not found")</f>
        <v>Merchant_032</v>
      </c>
      <c r="J113" s="12" t="str">
        <f>IFERROR(VLOOKUP($C113,Merchants!$A$2:$D$41,3,FALSE),"Merchant not found")</f>
        <v>food_delivery</v>
      </c>
      <c r="K113" s="12" t="str">
        <f>IFERROR(VLOOKUP($C113,Merchants!$A$2:$D$41,4,FALSE),"Merchant not found")</f>
        <v>West</v>
      </c>
      <c r="L113" s="13" t="str">
        <f t="shared" si="1"/>
        <v>Standard</v>
      </c>
    </row>
    <row r="114" spans="1:12" x14ac:dyDescent="0.3">
      <c r="A114" s="3" t="s">
        <v>298</v>
      </c>
      <c r="B114" s="2">
        <v>282</v>
      </c>
      <c r="C114" s="2">
        <v>3</v>
      </c>
      <c r="D114" s="2" t="s">
        <v>299</v>
      </c>
      <c r="E114" s="2">
        <v>499</v>
      </c>
      <c r="F114" s="3" t="s">
        <v>73</v>
      </c>
      <c r="G114" s="3" t="s">
        <v>70</v>
      </c>
      <c r="H114" s="2">
        <v>58</v>
      </c>
      <c r="I114" s="10" t="str">
        <f>IFERROR(VLOOKUP($C114,Merchants!$A$2:$D$41,2,FALSE),"Merchant not found")</f>
        <v>Merchant_003</v>
      </c>
      <c r="J114" s="10" t="str">
        <f>IFERROR(VLOOKUP($C114,Merchants!$A$2:$D$41,3,FALSE),"Merchant not found")</f>
        <v>grocery</v>
      </c>
      <c r="K114" s="10" t="str">
        <f>IFERROR(VLOOKUP($C114,Merchants!$A$2:$D$41,4,FALSE),"Merchant not found")</f>
        <v>East</v>
      </c>
      <c r="L114" s="11" t="str">
        <f t="shared" si="1"/>
        <v>Standard</v>
      </c>
    </row>
    <row r="115" spans="1:12" x14ac:dyDescent="0.3">
      <c r="A115" s="5" t="s">
        <v>300</v>
      </c>
      <c r="B115" s="4">
        <v>166</v>
      </c>
      <c r="C115" s="4">
        <v>8</v>
      </c>
      <c r="D115" s="4" t="s">
        <v>301</v>
      </c>
      <c r="E115" s="4">
        <v>299</v>
      </c>
      <c r="F115" s="5" t="s">
        <v>73</v>
      </c>
      <c r="G115" s="5" t="s">
        <v>70</v>
      </c>
      <c r="H115" s="4">
        <v>98</v>
      </c>
      <c r="I115" s="12" t="str">
        <f>IFERROR(VLOOKUP($C115,Merchants!$A$2:$D$41,2,FALSE),"Merchant not found")</f>
        <v>Merchant_008</v>
      </c>
      <c r="J115" s="12" t="str">
        <f>IFERROR(VLOOKUP($C115,Merchants!$A$2:$D$41,3,FALSE),"Merchant not found")</f>
        <v>food_delivery</v>
      </c>
      <c r="K115" s="12" t="str">
        <f>IFERROR(VLOOKUP($C115,Merchants!$A$2:$D$41,4,FALSE),"Merchant not found")</f>
        <v>North</v>
      </c>
      <c r="L115" s="13" t="str">
        <f t="shared" si="1"/>
        <v>Standard</v>
      </c>
    </row>
    <row r="116" spans="1:12" x14ac:dyDescent="0.3">
      <c r="A116" s="3" t="s">
        <v>302</v>
      </c>
      <c r="B116" s="2">
        <v>1</v>
      </c>
      <c r="C116" s="2">
        <v>35</v>
      </c>
      <c r="D116" s="2" t="s">
        <v>303</v>
      </c>
      <c r="E116" s="2">
        <v>149</v>
      </c>
      <c r="F116" s="3" t="s">
        <v>73</v>
      </c>
      <c r="G116" s="3" t="s">
        <v>70</v>
      </c>
      <c r="H116" s="2">
        <v>59</v>
      </c>
      <c r="I116" s="10" t="str">
        <f>IFERROR(VLOOKUP($C116,Merchants!$A$2:$D$41,2,FALSE),"Merchant not found")</f>
        <v>Merchant_035</v>
      </c>
      <c r="J116" s="10" t="str">
        <f>IFERROR(VLOOKUP($C116,Merchants!$A$2:$D$41,3,FALSE),"Merchant not found")</f>
        <v>recharge</v>
      </c>
      <c r="K116" s="10" t="str">
        <f>IFERROR(VLOOKUP($C116,Merchants!$A$2:$D$41,4,FALSE),"Merchant not found")</f>
        <v>East</v>
      </c>
      <c r="L116" s="11" t="str">
        <f t="shared" si="1"/>
        <v>Standard</v>
      </c>
    </row>
    <row r="117" spans="1:12" x14ac:dyDescent="0.3">
      <c r="A117" s="5" t="s">
        <v>304</v>
      </c>
      <c r="B117" s="4">
        <v>266</v>
      </c>
      <c r="C117" s="4">
        <v>24</v>
      </c>
      <c r="D117" s="4" t="s">
        <v>305</v>
      </c>
      <c r="E117" s="4">
        <v>499</v>
      </c>
      <c r="F117" s="5" t="s">
        <v>73</v>
      </c>
      <c r="G117" s="5" t="s">
        <v>70</v>
      </c>
      <c r="H117" s="4">
        <v>79</v>
      </c>
      <c r="I117" s="12" t="str">
        <f>IFERROR(VLOOKUP($C117,Merchants!$A$2:$D$41,2,FALSE),"Merchant not found")</f>
        <v>Merchant_024</v>
      </c>
      <c r="J117" s="12" t="str">
        <f>IFERROR(VLOOKUP($C117,Merchants!$A$2:$D$41,3,FALSE),"Merchant not found")</f>
        <v>grocery</v>
      </c>
      <c r="K117" s="12" t="str">
        <f>IFERROR(VLOOKUP($C117,Merchants!$A$2:$D$41,4,FALSE),"Merchant not found")</f>
        <v>North</v>
      </c>
      <c r="L117" s="13" t="str">
        <f t="shared" si="1"/>
        <v>Standard</v>
      </c>
    </row>
    <row r="118" spans="1:12" x14ac:dyDescent="0.3">
      <c r="A118" s="3" t="s">
        <v>306</v>
      </c>
      <c r="B118" s="2">
        <v>227</v>
      </c>
      <c r="C118" s="2">
        <v>4</v>
      </c>
      <c r="D118" s="2" t="s">
        <v>307</v>
      </c>
      <c r="E118" s="2">
        <v>499</v>
      </c>
      <c r="F118" s="3" t="s">
        <v>73</v>
      </c>
      <c r="G118" s="3" t="s">
        <v>70</v>
      </c>
      <c r="H118" s="2">
        <v>26</v>
      </c>
      <c r="I118" s="10" t="str">
        <f>IFERROR(VLOOKUP($C118,Merchants!$A$2:$D$41,2,FALSE),"Merchant not found")</f>
        <v>Merchant_004</v>
      </c>
      <c r="J118" s="10" t="str">
        <f>IFERROR(VLOOKUP($C118,Merchants!$A$2:$D$41,3,FALSE),"Merchant not found")</f>
        <v>ecommerce</v>
      </c>
      <c r="K118" s="10" t="str">
        <f>IFERROR(VLOOKUP($C118,Merchants!$A$2:$D$41,4,FALSE),"Merchant not found")</f>
        <v>East</v>
      </c>
      <c r="L118" s="11" t="str">
        <f t="shared" si="1"/>
        <v>Standard</v>
      </c>
    </row>
    <row r="119" spans="1:12" x14ac:dyDescent="0.3">
      <c r="A119" s="5" t="s">
        <v>308</v>
      </c>
      <c r="B119" s="4">
        <v>148</v>
      </c>
      <c r="C119" s="4">
        <v>29</v>
      </c>
      <c r="D119" s="4" t="s">
        <v>309</v>
      </c>
      <c r="E119" s="4">
        <v>499</v>
      </c>
      <c r="F119" s="5" t="s">
        <v>73</v>
      </c>
      <c r="G119" s="5" t="s">
        <v>70</v>
      </c>
      <c r="H119" s="4">
        <v>89</v>
      </c>
      <c r="I119" s="12" t="str">
        <f>IFERROR(VLOOKUP($C119,Merchants!$A$2:$D$41,2,FALSE),"Merchant not found")</f>
        <v>Merchant_029</v>
      </c>
      <c r="J119" s="12" t="str">
        <f>IFERROR(VLOOKUP($C119,Merchants!$A$2:$D$41,3,FALSE),"Merchant not found")</f>
        <v>ecommerce</v>
      </c>
      <c r="K119" s="12" t="str">
        <f>IFERROR(VLOOKUP($C119,Merchants!$A$2:$D$41,4,FALSE),"Merchant not found")</f>
        <v>North</v>
      </c>
      <c r="L119" s="13" t="str">
        <f t="shared" si="1"/>
        <v>Standard</v>
      </c>
    </row>
    <row r="120" spans="1:12" x14ac:dyDescent="0.3">
      <c r="A120" s="3" t="s">
        <v>310</v>
      </c>
      <c r="B120" s="2">
        <v>323</v>
      </c>
      <c r="C120" s="2">
        <v>39</v>
      </c>
      <c r="D120" s="2" t="s">
        <v>311</v>
      </c>
      <c r="E120" s="2">
        <v>499</v>
      </c>
      <c r="F120" s="3" t="s">
        <v>73</v>
      </c>
      <c r="G120" s="3" t="s">
        <v>70</v>
      </c>
      <c r="H120" s="2">
        <v>30</v>
      </c>
      <c r="I120" s="10" t="str">
        <f>IFERROR(VLOOKUP($C120,Merchants!$A$2:$D$41,2,FALSE),"Merchant not found")</f>
        <v>Merchant_039</v>
      </c>
      <c r="J120" s="10" t="str">
        <f>IFERROR(VLOOKUP($C120,Merchants!$A$2:$D$41,3,FALSE),"Merchant not found")</f>
        <v>entertainment</v>
      </c>
      <c r="K120" s="10" t="str">
        <f>IFERROR(VLOOKUP($C120,Merchants!$A$2:$D$41,4,FALSE),"Merchant not found")</f>
        <v>North</v>
      </c>
      <c r="L120" s="11" t="str">
        <f t="shared" si="1"/>
        <v>Standard</v>
      </c>
    </row>
    <row r="121" spans="1:12" x14ac:dyDescent="0.3">
      <c r="A121" s="5" t="s">
        <v>312</v>
      </c>
      <c r="B121" s="4">
        <v>283</v>
      </c>
      <c r="C121" s="4">
        <v>1</v>
      </c>
      <c r="D121" s="4" t="s">
        <v>313</v>
      </c>
      <c r="E121" s="4">
        <v>2999</v>
      </c>
      <c r="F121" s="5" t="s">
        <v>69</v>
      </c>
      <c r="G121" s="5" t="s">
        <v>70</v>
      </c>
      <c r="H121" s="4">
        <v>70</v>
      </c>
      <c r="I121" s="12" t="str">
        <f>IFERROR(VLOOKUP($C121,Merchants!$A$2:$D$41,2,FALSE),"Merchant not found")</f>
        <v>Merchant_001</v>
      </c>
      <c r="J121" s="12" t="str">
        <f>IFERROR(VLOOKUP($C121,Merchants!$A$2:$D$41,3,FALSE),"Merchant not found")</f>
        <v>ecommerce</v>
      </c>
      <c r="K121" s="12" t="str">
        <f>IFERROR(VLOOKUP($C121,Merchants!$A$2:$D$41,4,FALSE),"Merchant not found")</f>
        <v>South</v>
      </c>
      <c r="L121" s="13" t="str">
        <f t="shared" si="1"/>
        <v>Standard</v>
      </c>
    </row>
    <row r="122" spans="1:12" x14ac:dyDescent="0.3">
      <c r="A122" s="3" t="s">
        <v>314</v>
      </c>
      <c r="B122" s="2">
        <v>59</v>
      </c>
      <c r="C122" s="2">
        <v>30</v>
      </c>
      <c r="D122" s="2" t="s">
        <v>315</v>
      </c>
      <c r="E122" s="2">
        <v>499</v>
      </c>
      <c r="F122" s="3" t="s">
        <v>73</v>
      </c>
      <c r="G122" s="3" t="s">
        <v>70</v>
      </c>
      <c r="H122" s="2">
        <v>15</v>
      </c>
      <c r="I122" s="10" t="str">
        <f>IFERROR(VLOOKUP($C122,Merchants!$A$2:$D$41,2,FALSE),"Merchant not found")</f>
        <v>Merchant_030</v>
      </c>
      <c r="J122" s="10" t="str">
        <f>IFERROR(VLOOKUP($C122,Merchants!$A$2:$D$41,3,FALSE),"Merchant not found")</f>
        <v>travel</v>
      </c>
      <c r="K122" s="10" t="str">
        <f>IFERROR(VLOOKUP($C122,Merchants!$A$2:$D$41,4,FALSE),"Merchant not found")</f>
        <v>West</v>
      </c>
      <c r="L122" s="11" t="str">
        <f t="shared" si="1"/>
        <v>Standard</v>
      </c>
    </row>
    <row r="123" spans="1:12" x14ac:dyDescent="0.3">
      <c r="A123" s="5" t="s">
        <v>316</v>
      </c>
      <c r="B123" s="4">
        <v>150</v>
      </c>
      <c r="C123" s="4">
        <v>33</v>
      </c>
      <c r="D123" s="4" t="s">
        <v>317</v>
      </c>
      <c r="E123" s="4">
        <v>2999</v>
      </c>
      <c r="F123" s="5" t="s">
        <v>73</v>
      </c>
      <c r="G123" s="5" t="s">
        <v>70</v>
      </c>
      <c r="H123" s="4">
        <v>90</v>
      </c>
      <c r="I123" s="12" t="str">
        <f>IFERROR(VLOOKUP($C123,Merchants!$A$2:$D$41,2,FALSE),"Merchant not found")</f>
        <v>Merchant_033</v>
      </c>
      <c r="J123" s="12" t="str">
        <f>IFERROR(VLOOKUP($C123,Merchants!$A$2:$D$41,3,FALSE),"Merchant not found")</f>
        <v>bill_payment</v>
      </c>
      <c r="K123" s="12" t="str">
        <f>IFERROR(VLOOKUP($C123,Merchants!$A$2:$D$41,4,FALSE),"Merchant not found")</f>
        <v>East</v>
      </c>
      <c r="L123" s="13" t="str">
        <f t="shared" si="1"/>
        <v>Standard</v>
      </c>
    </row>
    <row r="124" spans="1:12" x14ac:dyDescent="0.3">
      <c r="A124" s="3" t="s">
        <v>318</v>
      </c>
      <c r="B124" s="2">
        <v>248</v>
      </c>
      <c r="C124" s="2">
        <v>31</v>
      </c>
      <c r="D124" s="2" t="s">
        <v>319</v>
      </c>
      <c r="E124" s="2">
        <v>1499</v>
      </c>
      <c r="F124" s="3" t="s">
        <v>73</v>
      </c>
      <c r="G124" s="3" t="s">
        <v>96</v>
      </c>
      <c r="H124" s="2">
        <v>31</v>
      </c>
      <c r="I124" s="10" t="str">
        <f>IFERROR(VLOOKUP($C124,Merchants!$A$2:$D$41,2,FALSE),"Merchant not found")</f>
        <v>Merchant_031</v>
      </c>
      <c r="J124" s="10" t="str">
        <f>IFERROR(VLOOKUP($C124,Merchants!$A$2:$D$41,3,FALSE),"Merchant not found")</f>
        <v>bill_payment</v>
      </c>
      <c r="K124" s="10" t="str">
        <f>IFERROR(VLOOKUP($C124,Merchants!$A$2:$D$41,4,FALSE),"Merchant not found")</f>
        <v>East</v>
      </c>
      <c r="L124" s="11" t="str">
        <f t="shared" si="1"/>
        <v>Standard</v>
      </c>
    </row>
    <row r="125" spans="1:12" x14ac:dyDescent="0.3">
      <c r="A125" s="5" t="s">
        <v>320</v>
      </c>
      <c r="B125" s="4">
        <v>197</v>
      </c>
      <c r="C125" s="4">
        <v>13</v>
      </c>
      <c r="D125" s="4" t="s">
        <v>321</v>
      </c>
      <c r="E125" s="4">
        <v>49</v>
      </c>
      <c r="F125" s="5" t="s">
        <v>73</v>
      </c>
      <c r="G125" s="5" t="s">
        <v>70</v>
      </c>
      <c r="H125" s="4">
        <v>76</v>
      </c>
      <c r="I125" s="12" t="str">
        <f>IFERROR(VLOOKUP($C125,Merchants!$A$2:$D$41,2,FALSE),"Merchant not found")</f>
        <v>Merchant_013</v>
      </c>
      <c r="J125" s="12" t="str">
        <f>IFERROR(VLOOKUP($C125,Merchants!$A$2:$D$41,3,FALSE),"Merchant not found")</f>
        <v>travel</v>
      </c>
      <c r="K125" s="12" t="str">
        <f>IFERROR(VLOOKUP($C125,Merchants!$A$2:$D$41,4,FALSE),"Merchant not found")</f>
        <v>East</v>
      </c>
      <c r="L125" s="13" t="str">
        <f t="shared" si="1"/>
        <v>Standard</v>
      </c>
    </row>
    <row r="126" spans="1:12" x14ac:dyDescent="0.3">
      <c r="A126" s="3" t="s">
        <v>322</v>
      </c>
      <c r="B126" s="2">
        <v>70</v>
      </c>
      <c r="C126" s="2">
        <v>5</v>
      </c>
      <c r="D126" s="2" t="s">
        <v>323</v>
      </c>
      <c r="E126" s="2">
        <v>499</v>
      </c>
      <c r="F126" s="3" t="s">
        <v>73</v>
      </c>
      <c r="G126" s="3" t="s">
        <v>70</v>
      </c>
      <c r="H126" s="2">
        <v>35</v>
      </c>
      <c r="I126" s="10" t="str">
        <f>IFERROR(VLOOKUP($C126,Merchants!$A$2:$D$41,2,FALSE),"Merchant not found")</f>
        <v>Merchant_005</v>
      </c>
      <c r="J126" s="10" t="str">
        <f>IFERROR(VLOOKUP($C126,Merchants!$A$2:$D$41,3,FALSE),"Merchant not found")</f>
        <v>recharge</v>
      </c>
      <c r="K126" s="10" t="str">
        <f>IFERROR(VLOOKUP($C126,Merchants!$A$2:$D$41,4,FALSE),"Merchant not found")</f>
        <v>South</v>
      </c>
      <c r="L126" s="11" t="str">
        <f t="shared" si="1"/>
        <v>Standard</v>
      </c>
    </row>
    <row r="127" spans="1:12" x14ac:dyDescent="0.3">
      <c r="A127" s="5" t="s">
        <v>324</v>
      </c>
      <c r="B127" s="4">
        <v>260</v>
      </c>
      <c r="C127" s="4">
        <v>18</v>
      </c>
      <c r="D127" s="4" t="s">
        <v>325</v>
      </c>
      <c r="E127" s="4">
        <v>1499</v>
      </c>
      <c r="F127" s="5" t="s">
        <v>73</v>
      </c>
      <c r="G127" s="5" t="s">
        <v>70</v>
      </c>
      <c r="H127" s="4">
        <v>0</v>
      </c>
      <c r="I127" s="12" t="str">
        <f>IFERROR(VLOOKUP($C127,Merchants!$A$2:$D$41,2,FALSE),"Merchant not found")</f>
        <v>Merchant_018</v>
      </c>
      <c r="J127" s="12" t="str">
        <f>IFERROR(VLOOKUP($C127,Merchants!$A$2:$D$41,3,FALSE),"Merchant not found")</f>
        <v>grocery</v>
      </c>
      <c r="K127" s="12" t="str">
        <f>IFERROR(VLOOKUP($C127,Merchants!$A$2:$D$41,4,FALSE),"Merchant not found")</f>
        <v>West</v>
      </c>
      <c r="L127" s="13" t="str">
        <f t="shared" si="1"/>
        <v>Standard</v>
      </c>
    </row>
    <row r="128" spans="1:12" x14ac:dyDescent="0.3">
      <c r="A128" s="3" t="s">
        <v>326</v>
      </c>
      <c r="B128" s="2">
        <v>301</v>
      </c>
      <c r="C128" s="2">
        <v>38</v>
      </c>
      <c r="D128" s="2" t="s">
        <v>327</v>
      </c>
      <c r="E128" s="2">
        <v>99</v>
      </c>
      <c r="F128" s="3" t="s">
        <v>73</v>
      </c>
      <c r="G128" s="3" t="s">
        <v>70</v>
      </c>
      <c r="H128" s="2">
        <v>84</v>
      </c>
      <c r="I128" s="10" t="str">
        <f>IFERROR(VLOOKUP($C128,Merchants!$A$2:$D$41,2,FALSE),"Merchant not found")</f>
        <v>Merchant_038</v>
      </c>
      <c r="J128" s="10" t="str">
        <f>IFERROR(VLOOKUP($C128,Merchants!$A$2:$D$41,3,FALSE),"Merchant not found")</f>
        <v>grocery</v>
      </c>
      <c r="K128" s="10" t="str">
        <f>IFERROR(VLOOKUP($C128,Merchants!$A$2:$D$41,4,FALSE),"Merchant not found")</f>
        <v>East</v>
      </c>
      <c r="L128" s="11" t="str">
        <f t="shared" si="1"/>
        <v>Standard</v>
      </c>
    </row>
    <row r="129" spans="1:12" x14ac:dyDescent="0.3">
      <c r="A129" s="5" t="s">
        <v>328</v>
      </c>
      <c r="B129" s="4">
        <v>276</v>
      </c>
      <c r="C129" s="4">
        <v>31</v>
      </c>
      <c r="D129" s="4" t="s">
        <v>329</v>
      </c>
      <c r="E129" s="4">
        <v>499</v>
      </c>
      <c r="F129" s="5" t="s">
        <v>95</v>
      </c>
      <c r="G129" s="5" t="s">
        <v>70</v>
      </c>
      <c r="H129" s="4">
        <v>44</v>
      </c>
      <c r="I129" s="12" t="str">
        <f>IFERROR(VLOOKUP($C129,Merchants!$A$2:$D$41,2,FALSE),"Merchant not found")</f>
        <v>Merchant_031</v>
      </c>
      <c r="J129" s="12" t="str">
        <f>IFERROR(VLOOKUP($C129,Merchants!$A$2:$D$41,3,FALSE),"Merchant not found")</f>
        <v>bill_payment</v>
      </c>
      <c r="K129" s="12" t="str">
        <f>IFERROR(VLOOKUP($C129,Merchants!$A$2:$D$41,4,FALSE),"Merchant not found")</f>
        <v>East</v>
      </c>
      <c r="L129" s="13" t="str">
        <f t="shared" si="1"/>
        <v>Standard</v>
      </c>
    </row>
    <row r="130" spans="1:12" x14ac:dyDescent="0.3">
      <c r="A130" s="3" t="s">
        <v>330</v>
      </c>
      <c r="B130" s="2">
        <v>279</v>
      </c>
      <c r="C130" s="2">
        <v>25</v>
      </c>
      <c r="D130" s="2" t="s">
        <v>331</v>
      </c>
      <c r="E130" s="2">
        <v>799</v>
      </c>
      <c r="F130" s="3" t="s">
        <v>73</v>
      </c>
      <c r="G130" s="3" t="s">
        <v>70</v>
      </c>
      <c r="H130" s="2">
        <v>58</v>
      </c>
      <c r="I130" s="10" t="str">
        <f>IFERROR(VLOOKUP($C130,Merchants!$A$2:$D$41,2,FALSE),"Merchant not found")</f>
        <v>Merchant_025</v>
      </c>
      <c r="J130" s="10" t="str">
        <f>IFERROR(VLOOKUP($C130,Merchants!$A$2:$D$41,3,FALSE),"Merchant not found")</f>
        <v>travel</v>
      </c>
      <c r="K130" s="10" t="str">
        <f>IFERROR(VLOOKUP($C130,Merchants!$A$2:$D$41,4,FALSE),"Merchant not found")</f>
        <v>South</v>
      </c>
      <c r="L130" s="11" t="str">
        <f t="shared" ref="L130:L193" si="2">IF(AND(SUMPRODUCT(($C$2:$C$548=$C130)*(LEFT($D$2:$D$548,10)=LEFT($D130,10))*$E$2:$E$548)&gt;5000,$K130&lt;&gt;"East"),"High-Value Merchant Day","Standard")</f>
        <v>Standard</v>
      </c>
    </row>
    <row r="131" spans="1:12" x14ac:dyDescent="0.3">
      <c r="A131" s="5" t="s">
        <v>332</v>
      </c>
      <c r="B131" s="4">
        <v>97</v>
      </c>
      <c r="C131" s="4">
        <v>16</v>
      </c>
      <c r="D131" s="4" t="s">
        <v>333</v>
      </c>
      <c r="E131" s="4">
        <v>799</v>
      </c>
      <c r="F131" s="5" t="s">
        <v>95</v>
      </c>
      <c r="G131" s="5" t="s">
        <v>70</v>
      </c>
      <c r="H131" s="4">
        <v>73</v>
      </c>
      <c r="I131" s="12" t="str">
        <f>IFERROR(VLOOKUP($C131,Merchants!$A$2:$D$41,2,FALSE),"Merchant not found")</f>
        <v>Merchant_016</v>
      </c>
      <c r="J131" s="12" t="str">
        <f>IFERROR(VLOOKUP($C131,Merchants!$A$2:$D$41,3,FALSE),"Merchant not found")</f>
        <v>bill_payment</v>
      </c>
      <c r="K131" s="12" t="str">
        <f>IFERROR(VLOOKUP($C131,Merchants!$A$2:$D$41,4,FALSE),"Merchant not found")</f>
        <v>West</v>
      </c>
      <c r="L131" s="13" t="str">
        <f t="shared" si="2"/>
        <v>Standard</v>
      </c>
    </row>
    <row r="132" spans="1:12" x14ac:dyDescent="0.3">
      <c r="A132" s="3" t="s">
        <v>334</v>
      </c>
      <c r="B132" s="2">
        <v>211</v>
      </c>
      <c r="C132" s="2">
        <v>3</v>
      </c>
      <c r="D132" s="2" t="s">
        <v>335</v>
      </c>
      <c r="E132" s="2">
        <v>149</v>
      </c>
      <c r="F132" s="3" t="s">
        <v>73</v>
      </c>
      <c r="G132" s="3" t="s">
        <v>121</v>
      </c>
      <c r="H132" s="2">
        <v>40</v>
      </c>
      <c r="I132" s="10" t="str">
        <f>IFERROR(VLOOKUP($C132,Merchants!$A$2:$D$41,2,FALSE),"Merchant not found")</f>
        <v>Merchant_003</v>
      </c>
      <c r="J132" s="10" t="str">
        <f>IFERROR(VLOOKUP($C132,Merchants!$A$2:$D$41,3,FALSE),"Merchant not found")</f>
        <v>grocery</v>
      </c>
      <c r="K132" s="10" t="str">
        <f>IFERROR(VLOOKUP($C132,Merchants!$A$2:$D$41,4,FALSE),"Merchant not found")</f>
        <v>East</v>
      </c>
      <c r="L132" s="11" t="str">
        <f t="shared" si="2"/>
        <v>Standard</v>
      </c>
    </row>
    <row r="133" spans="1:12" x14ac:dyDescent="0.3">
      <c r="A133" s="5" t="s">
        <v>336</v>
      </c>
      <c r="B133" s="4">
        <v>196</v>
      </c>
      <c r="C133" s="4">
        <v>25</v>
      </c>
      <c r="D133" s="4" t="s">
        <v>337</v>
      </c>
      <c r="E133" s="4">
        <v>149</v>
      </c>
      <c r="F133" s="5" t="s">
        <v>78</v>
      </c>
      <c r="G133" s="5" t="s">
        <v>70</v>
      </c>
      <c r="H133" s="4">
        <v>84</v>
      </c>
      <c r="I133" s="12" t="str">
        <f>IFERROR(VLOOKUP($C133,Merchants!$A$2:$D$41,2,FALSE),"Merchant not found")</f>
        <v>Merchant_025</v>
      </c>
      <c r="J133" s="12" t="str">
        <f>IFERROR(VLOOKUP($C133,Merchants!$A$2:$D$41,3,FALSE),"Merchant not found")</f>
        <v>travel</v>
      </c>
      <c r="K133" s="12" t="str">
        <f>IFERROR(VLOOKUP($C133,Merchants!$A$2:$D$41,4,FALSE),"Merchant not found")</f>
        <v>South</v>
      </c>
      <c r="L133" s="13" t="str">
        <f t="shared" si="2"/>
        <v>Standard</v>
      </c>
    </row>
    <row r="134" spans="1:12" x14ac:dyDescent="0.3">
      <c r="A134" s="3" t="s">
        <v>338</v>
      </c>
      <c r="B134" s="2">
        <v>254</v>
      </c>
      <c r="C134" s="2">
        <v>3</v>
      </c>
      <c r="D134" s="2" t="s">
        <v>339</v>
      </c>
      <c r="E134" s="2">
        <v>149</v>
      </c>
      <c r="F134" s="3" t="s">
        <v>95</v>
      </c>
      <c r="G134" s="3" t="s">
        <v>70</v>
      </c>
      <c r="H134" s="2">
        <v>16</v>
      </c>
      <c r="I134" s="10" t="str">
        <f>IFERROR(VLOOKUP($C134,Merchants!$A$2:$D$41,2,FALSE),"Merchant not found")</f>
        <v>Merchant_003</v>
      </c>
      <c r="J134" s="10" t="str">
        <f>IFERROR(VLOOKUP($C134,Merchants!$A$2:$D$41,3,FALSE),"Merchant not found")</f>
        <v>grocery</v>
      </c>
      <c r="K134" s="10" t="str">
        <f>IFERROR(VLOOKUP($C134,Merchants!$A$2:$D$41,4,FALSE),"Merchant not found")</f>
        <v>East</v>
      </c>
      <c r="L134" s="11" t="str">
        <f t="shared" si="2"/>
        <v>Standard</v>
      </c>
    </row>
    <row r="135" spans="1:12" x14ac:dyDescent="0.3">
      <c r="A135" s="5" t="s">
        <v>340</v>
      </c>
      <c r="B135" s="4">
        <v>52</v>
      </c>
      <c r="C135" s="4">
        <v>29</v>
      </c>
      <c r="D135" s="4" t="s">
        <v>341</v>
      </c>
      <c r="E135" s="4">
        <v>49</v>
      </c>
      <c r="F135" s="5" t="s">
        <v>78</v>
      </c>
      <c r="G135" s="5" t="s">
        <v>70</v>
      </c>
      <c r="H135" s="4">
        <v>12</v>
      </c>
      <c r="I135" s="12" t="str">
        <f>IFERROR(VLOOKUP($C135,Merchants!$A$2:$D$41,2,FALSE),"Merchant not found")</f>
        <v>Merchant_029</v>
      </c>
      <c r="J135" s="12" t="str">
        <f>IFERROR(VLOOKUP($C135,Merchants!$A$2:$D$41,3,FALSE),"Merchant not found")</f>
        <v>ecommerce</v>
      </c>
      <c r="K135" s="12" t="str">
        <f>IFERROR(VLOOKUP($C135,Merchants!$A$2:$D$41,4,FALSE),"Merchant not found")</f>
        <v>North</v>
      </c>
      <c r="L135" s="13" t="str">
        <f t="shared" si="2"/>
        <v>Standard</v>
      </c>
    </row>
    <row r="136" spans="1:12" x14ac:dyDescent="0.3">
      <c r="A136" s="3" t="s">
        <v>342</v>
      </c>
      <c r="B136" s="2">
        <v>74</v>
      </c>
      <c r="C136" s="2">
        <v>27</v>
      </c>
      <c r="D136" s="2" t="s">
        <v>343</v>
      </c>
      <c r="E136" s="2">
        <v>799</v>
      </c>
      <c r="F136" s="3" t="s">
        <v>73</v>
      </c>
      <c r="G136" s="3" t="s">
        <v>70</v>
      </c>
      <c r="H136" s="2">
        <v>83</v>
      </c>
      <c r="I136" s="10" t="str">
        <f>IFERROR(VLOOKUP($C136,Merchants!$A$2:$D$41,2,FALSE),"Merchant not found")</f>
        <v>Merchant_027</v>
      </c>
      <c r="J136" s="10" t="str">
        <f>IFERROR(VLOOKUP($C136,Merchants!$A$2:$D$41,3,FALSE),"Merchant not found")</f>
        <v>ecommerce</v>
      </c>
      <c r="K136" s="10" t="str">
        <f>IFERROR(VLOOKUP($C136,Merchants!$A$2:$D$41,4,FALSE),"Merchant not found")</f>
        <v>North</v>
      </c>
      <c r="L136" s="11" t="str">
        <f t="shared" si="2"/>
        <v>Standard</v>
      </c>
    </row>
    <row r="137" spans="1:12" x14ac:dyDescent="0.3">
      <c r="A137" s="5" t="s">
        <v>344</v>
      </c>
      <c r="B137" s="4">
        <v>136</v>
      </c>
      <c r="C137" s="4">
        <v>22</v>
      </c>
      <c r="D137" s="4" t="s">
        <v>345</v>
      </c>
      <c r="E137" s="4">
        <v>149</v>
      </c>
      <c r="F137" s="5" t="s">
        <v>73</v>
      </c>
      <c r="G137" s="5" t="s">
        <v>70</v>
      </c>
      <c r="H137" s="4">
        <v>79</v>
      </c>
      <c r="I137" s="12" t="str">
        <f>IFERROR(VLOOKUP($C137,Merchants!$A$2:$D$41,2,FALSE),"Merchant not found")</f>
        <v>Merchant_022</v>
      </c>
      <c r="J137" s="12" t="str">
        <f>IFERROR(VLOOKUP($C137,Merchants!$A$2:$D$41,3,FALSE),"Merchant not found")</f>
        <v>travel</v>
      </c>
      <c r="K137" s="12" t="str">
        <f>IFERROR(VLOOKUP($C137,Merchants!$A$2:$D$41,4,FALSE),"Merchant not found")</f>
        <v>South</v>
      </c>
      <c r="L137" s="13" t="str">
        <f t="shared" si="2"/>
        <v>Standard</v>
      </c>
    </row>
    <row r="138" spans="1:12" x14ac:dyDescent="0.3">
      <c r="A138" s="3" t="s">
        <v>346</v>
      </c>
      <c r="B138" s="2">
        <v>42</v>
      </c>
      <c r="C138" s="2">
        <v>22</v>
      </c>
      <c r="D138" s="2" t="s">
        <v>347</v>
      </c>
      <c r="E138" s="2">
        <v>49</v>
      </c>
      <c r="F138" s="3" t="s">
        <v>73</v>
      </c>
      <c r="G138" s="3" t="s">
        <v>70</v>
      </c>
      <c r="H138" s="2">
        <v>86</v>
      </c>
      <c r="I138" s="10" t="str">
        <f>IFERROR(VLOOKUP($C138,Merchants!$A$2:$D$41,2,FALSE),"Merchant not found")</f>
        <v>Merchant_022</v>
      </c>
      <c r="J138" s="10" t="str">
        <f>IFERROR(VLOOKUP($C138,Merchants!$A$2:$D$41,3,FALSE),"Merchant not found")</f>
        <v>travel</v>
      </c>
      <c r="K138" s="10" t="str">
        <f>IFERROR(VLOOKUP($C138,Merchants!$A$2:$D$41,4,FALSE),"Merchant not found")</f>
        <v>South</v>
      </c>
      <c r="L138" s="11" t="str">
        <f t="shared" si="2"/>
        <v>Standard</v>
      </c>
    </row>
    <row r="139" spans="1:12" x14ac:dyDescent="0.3">
      <c r="A139" s="5" t="s">
        <v>348</v>
      </c>
      <c r="B139" s="4">
        <v>163</v>
      </c>
      <c r="C139" s="4">
        <v>32</v>
      </c>
      <c r="D139" s="4" t="s">
        <v>349</v>
      </c>
      <c r="E139" s="4">
        <v>2999</v>
      </c>
      <c r="F139" s="5" t="s">
        <v>69</v>
      </c>
      <c r="G139" s="5" t="s">
        <v>96</v>
      </c>
      <c r="H139" s="4">
        <v>69</v>
      </c>
      <c r="I139" s="12" t="str">
        <f>IFERROR(VLOOKUP($C139,Merchants!$A$2:$D$41,2,FALSE),"Merchant not found")</f>
        <v>Merchant_032</v>
      </c>
      <c r="J139" s="12" t="str">
        <f>IFERROR(VLOOKUP($C139,Merchants!$A$2:$D$41,3,FALSE),"Merchant not found")</f>
        <v>food_delivery</v>
      </c>
      <c r="K139" s="12" t="str">
        <f>IFERROR(VLOOKUP($C139,Merchants!$A$2:$D$41,4,FALSE),"Merchant not found")</f>
        <v>West</v>
      </c>
      <c r="L139" s="13" t="str">
        <f t="shared" si="2"/>
        <v>Standard</v>
      </c>
    </row>
    <row r="140" spans="1:12" x14ac:dyDescent="0.3">
      <c r="A140" s="3" t="s">
        <v>350</v>
      </c>
      <c r="B140" s="2">
        <v>121</v>
      </c>
      <c r="C140" s="2">
        <v>19</v>
      </c>
      <c r="D140" s="2" t="s">
        <v>351</v>
      </c>
      <c r="E140" s="2">
        <v>149</v>
      </c>
      <c r="F140" s="3" t="s">
        <v>73</v>
      </c>
      <c r="G140" s="3" t="s">
        <v>70</v>
      </c>
      <c r="H140" s="2">
        <v>29</v>
      </c>
      <c r="I140" s="10" t="str">
        <f>IFERROR(VLOOKUP($C140,Merchants!$A$2:$D$41,2,FALSE),"Merchant not found")</f>
        <v>Merchant_019</v>
      </c>
      <c r="J140" s="10" t="str">
        <f>IFERROR(VLOOKUP($C140,Merchants!$A$2:$D$41,3,FALSE),"Merchant not found")</f>
        <v>grocery</v>
      </c>
      <c r="K140" s="10" t="str">
        <f>IFERROR(VLOOKUP($C140,Merchants!$A$2:$D$41,4,FALSE),"Merchant not found")</f>
        <v>North</v>
      </c>
      <c r="L140" s="11" t="str">
        <f t="shared" si="2"/>
        <v>Standard</v>
      </c>
    </row>
    <row r="141" spans="1:12" x14ac:dyDescent="0.3">
      <c r="A141" s="5" t="s">
        <v>352</v>
      </c>
      <c r="B141" s="4">
        <v>51</v>
      </c>
      <c r="C141" s="4">
        <v>7</v>
      </c>
      <c r="D141" s="4" t="s">
        <v>353</v>
      </c>
      <c r="E141" s="4">
        <v>499</v>
      </c>
      <c r="F141" s="5" t="s">
        <v>95</v>
      </c>
      <c r="G141" s="5" t="s">
        <v>70</v>
      </c>
      <c r="H141" s="4">
        <v>56</v>
      </c>
      <c r="I141" s="12" t="str">
        <f>IFERROR(VLOOKUP($C141,Merchants!$A$2:$D$41,2,FALSE),"Merchant not found")</f>
        <v>Merchant_007</v>
      </c>
      <c r="J141" s="12" t="str">
        <f>IFERROR(VLOOKUP($C141,Merchants!$A$2:$D$41,3,FALSE),"Merchant not found")</f>
        <v>food_delivery</v>
      </c>
      <c r="K141" s="12" t="str">
        <f>IFERROR(VLOOKUP($C141,Merchants!$A$2:$D$41,4,FALSE),"Merchant not found")</f>
        <v>East</v>
      </c>
      <c r="L141" s="13" t="str">
        <f t="shared" si="2"/>
        <v>Standard</v>
      </c>
    </row>
    <row r="142" spans="1:12" x14ac:dyDescent="0.3">
      <c r="A142" s="3" t="s">
        <v>354</v>
      </c>
      <c r="B142" s="2">
        <v>15</v>
      </c>
      <c r="C142" s="2">
        <v>3</v>
      </c>
      <c r="D142" s="2" t="s">
        <v>355</v>
      </c>
      <c r="E142" s="2">
        <v>799</v>
      </c>
      <c r="F142" s="3" t="s">
        <v>73</v>
      </c>
      <c r="G142" s="3" t="s">
        <v>70</v>
      </c>
      <c r="H142" s="2">
        <v>41</v>
      </c>
      <c r="I142" s="10" t="str">
        <f>IFERROR(VLOOKUP($C142,Merchants!$A$2:$D$41,2,FALSE),"Merchant not found")</f>
        <v>Merchant_003</v>
      </c>
      <c r="J142" s="10" t="str">
        <f>IFERROR(VLOOKUP($C142,Merchants!$A$2:$D$41,3,FALSE),"Merchant not found")</f>
        <v>grocery</v>
      </c>
      <c r="K142" s="10" t="str">
        <f>IFERROR(VLOOKUP($C142,Merchants!$A$2:$D$41,4,FALSE),"Merchant not found")</f>
        <v>East</v>
      </c>
      <c r="L142" s="11" t="str">
        <f t="shared" si="2"/>
        <v>Standard</v>
      </c>
    </row>
    <row r="143" spans="1:12" x14ac:dyDescent="0.3">
      <c r="A143" s="5" t="s">
        <v>356</v>
      </c>
      <c r="B143" s="4">
        <v>184</v>
      </c>
      <c r="C143" s="4">
        <v>24</v>
      </c>
      <c r="D143" s="4" t="s">
        <v>357</v>
      </c>
      <c r="E143" s="4">
        <v>49</v>
      </c>
      <c r="F143" s="5" t="s">
        <v>73</v>
      </c>
      <c r="G143" s="5" t="s">
        <v>70</v>
      </c>
      <c r="H143" s="4">
        <v>55</v>
      </c>
      <c r="I143" s="12" t="str">
        <f>IFERROR(VLOOKUP($C143,Merchants!$A$2:$D$41,2,FALSE),"Merchant not found")</f>
        <v>Merchant_024</v>
      </c>
      <c r="J143" s="12" t="str">
        <f>IFERROR(VLOOKUP($C143,Merchants!$A$2:$D$41,3,FALSE),"Merchant not found")</f>
        <v>grocery</v>
      </c>
      <c r="K143" s="12" t="str">
        <f>IFERROR(VLOOKUP($C143,Merchants!$A$2:$D$41,4,FALSE),"Merchant not found")</f>
        <v>North</v>
      </c>
      <c r="L143" s="13" t="str">
        <f t="shared" si="2"/>
        <v>Standard</v>
      </c>
    </row>
    <row r="144" spans="1:12" x14ac:dyDescent="0.3">
      <c r="A144" s="3" t="s">
        <v>358</v>
      </c>
      <c r="B144" s="2">
        <v>211</v>
      </c>
      <c r="C144" s="2">
        <v>37</v>
      </c>
      <c r="D144" s="2" t="s">
        <v>359</v>
      </c>
      <c r="E144" s="2">
        <v>1499</v>
      </c>
      <c r="F144" s="3" t="s">
        <v>73</v>
      </c>
      <c r="G144" s="3" t="s">
        <v>70</v>
      </c>
      <c r="H144" s="2">
        <v>87</v>
      </c>
      <c r="I144" s="10" t="str">
        <f>IFERROR(VLOOKUP($C144,Merchants!$A$2:$D$41,2,FALSE),"Merchant not found")</f>
        <v>Merchant_037</v>
      </c>
      <c r="J144" s="10" t="str">
        <f>IFERROR(VLOOKUP($C144,Merchants!$A$2:$D$41,3,FALSE),"Merchant not found")</f>
        <v>entertainment</v>
      </c>
      <c r="K144" s="10" t="str">
        <f>IFERROR(VLOOKUP($C144,Merchants!$A$2:$D$41,4,FALSE),"Merchant not found")</f>
        <v>South</v>
      </c>
      <c r="L144" s="11" t="str">
        <f t="shared" si="2"/>
        <v>Standard</v>
      </c>
    </row>
    <row r="145" spans="1:12" x14ac:dyDescent="0.3">
      <c r="A145" s="5" t="s">
        <v>360</v>
      </c>
      <c r="B145" s="4">
        <v>90</v>
      </c>
      <c r="C145" s="4">
        <v>6</v>
      </c>
      <c r="D145" s="4" t="s">
        <v>361</v>
      </c>
      <c r="E145" s="4">
        <v>49</v>
      </c>
      <c r="F145" s="5" t="s">
        <v>95</v>
      </c>
      <c r="G145" s="5" t="s">
        <v>70</v>
      </c>
      <c r="H145" s="4">
        <v>78</v>
      </c>
      <c r="I145" s="12" t="str">
        <f>IFERROR(VLOOKUP($C145,Merchants!$A$2:$D$41,2,FALSE),"Merchant not found")</f>
        <v>Merchant_006</v>
      </c>
      <c r="J145" s="12" t="str">
        <f>IFERROR(VLOOKUP($C145,Merchants!$A$2:$D$41,3,FALSE),"Merchant not found")</f>
        <v>food_delivery</v>
      </c>
      <c r="K145" s="12" t="str">
        <f>IFERROR(VLOOKUP($C145,Merchants!$A$2:$D$41,4,FALSE),"Merchant not found")</f>
        <v>South</v>
      </c>
      <c r="L145" s="13" t="str">
        <f t="shared" si="2"/>
        <v>Standard</v>
      </c>
    </row>
    <row r="146" spans="1:12" x14ac:dyDescent="0.3">
      <c r="A146" s="3" t="s">
        <v>362</v>
      </c>
      <c r="B146" s="2">
        <v>350</v>
      </c>
      <c r="C146" s="2">
        <v>16</v>
      </c>
      <c r="D146" s="2" t="s">
        <v>363</v>
      </c>
      <c r="E146" s="2">
        <v>49</v>
      </c>
      <c r="F146" s="3" t="s">
        <v>73</v>
      </c>
      <c r="G146" s="3" t="s">
        <v>70</v>
      </c>
      <c r="H146" s="2">
        <v>63</v>
      </c>
      <c r="I146" s="10" t="str">
        <f>IFERROR(VLOOKUP($C146,Merchants!$A$2:$D$41,2,FALSE),"Merchant not found")</f>
        <v>Merchant_016</v>
      </c>
      <c r="J146" s="10" t="str">
        <f>IFERROR(VLOOKUP($C146,Merchants!$A$2:$D$41,3,FALSE),"Merchant not found")</f>
        <v>bill_payment</v>
      </c>
      <c r="K146" s="10" t="str">
        <f>IFERROR(VLOOKUP($C146,Merchants!$A$2:$D$41,4,FALSE),"Merchant not found")</f>
        <v>West</v>
      </c>
      <c r="L146" s="11" t="str">
        <f t="shared" si="2"/>
        <v>Standard</v>
      </c>
    </row>
    <row r="147" spans="1:12" x14ac:dyDescent="0.3">
      <c r="A147" s="5" t="s">
        <v>364</v>
      </c>
      <c r="B147" s="4">
        <v>119</v>
      </c>
      <c r="C147" s="4">
        <v>30</v>
      </c>
      <c r="D147" s="4" t="s">
        <v>365</v>
      </c>
      <c r="E147" s="4">
        <v>49</v>
      </c>
      <c r="F147" s="5" t="s">
        <v>95</v>
      </c>
      <c r="G147" s="5" t="s">
        <v>70</v>
      </c>
      <c r="H147" s="4">
        <v>81</v>
      </c>
      <c r="I147" s="12" t="str">
        <f>IFERROR(VLOOKUP($C147,Merchants!$A$2:$D$41,2,FALSE),"Merchant not found")</f>
        <v>Merchant_030</v>
      </c>
      <c r="J147" s="12" t="str">
        <f>IFERROR(VLOOKUP($C147,Merchants!$A$2:$D$41,3,FALSE),"Merchant not found")</f>
        <v>travel</v>
      </c>
      <c r="K147" s="12" t="str">
        <f>IFERROR(VLOOKUP($C147,Merchants!$A$2:$D$41,4,FALSE),"Merchant not found")</f>
        <v>West</v>
      </c>
      <c r="L147" s="13" t="str">
        <f t="shared" si="2"/>
        <v>Standard</v>
      </c>
    </row>
    <row r="148" spans="1:12" x14ac:dyDescent="0.3">
      <c r="A148" s="3" t="s">
        <v>366</v>
      </c>
      <c r="B148" s="2">
        <v>342</v>
      </c>
      <c r="C148" s="2">
        <v>1</v>
      </c>
      <c r="D148" s="2" t="s">
        <v>367</v>
      </c>
      <c r="E148" s="2">
        <v>49</v>
      </c>
      <c r="F148" s="3" t="s">
        <v>73</v>
      </c>
      <c r="G148" s="3" t="s">
        <v>70</v>
      </c>
      <c r="H148" s="2">
        <v>59</v>
      </c>
      <c r="I148" s="10" t="str">
        <f>IFERROR(VLOOKUP($C148,Merchants!$A$2:$D$41,2,FALSE),"Merchant not found")</f>
        <v>Merchant_001</v>
      </c>
      <c r="J148" s="10" t="str">
        <f>IFERROR(VLOOKUP($C148,Merchants!$A$2:$D$41,3,FALSE),"Merchant not found")</f>
        <v>ecommerce</v>
      </c>
      <c r="K148" s="10" t="str">
        <f>IFERROR(VLOOKUP($C148,Merchants!$A$2:$D$41,4,FALSE),"Merchant not found")</f>
        <v>South</v>
      </c>
      <c r="L148" s="11" t="str">
        <f t="shared" si="2"/>
        <v>High-Value Merchant Day</v>
      </c>
    </row>
    <row r="149" spans="1:12" x14ac:dyDescent="0.3">
      <c r="A149" s="5" t="s">
        <v>368</v>
      </c>
      <c r="B149" s="4">
        <v>280</v>
      </c>
      <c r="C149" s="4">
        <v>11</v>
      </c>
      <c r="D149" s="4" t="s">
        <v>369</v>
      </c>
      <c r="E149" s="4">
        <v>149</v>
      </c>
      <c r="F149" s="5" t="s">
        <v>73</v>
      </c>
      <c r="G149" s="5" t="s">
        <v>121</v>
      </c>
      <c r="H149" s="4">
        <v>9</v>
      </c>
      <c r="I149" s="12" t="str">
        <f>IFERROR(VLOOKUP($C149,Merchants!$A$2:$D$41,2,FALSE),"Merchant not found")</f>
        <v>Merchant_011</v>
      </c>
      <c r="J149" s="12" t="str">
        <f>IFERROR(VLOOKUP($C149,Merchants!$A$2:$D$41,3,FALSE),"Merchant not found")</f>
        <v>ecommerce</v>
      </c>
      <c r="K149" s="12" t="str">
        <f>IFERROR(VLOOKUP($C149,Merchants!$A$2:$D$41,4,FALSE),"Merchant not found")</f>
        <v>North</v>
      </c>
      <c r="L149" s="13" t="str">
        <f t="shared" si="2"/>
        <v>Standard</v>
      </c>
    </row>
    <row r="150" spans="1:12" x14ac:dyDescent="0.3">
      <c r="A150" s="3" t="s">
        <v>370</v>
      </c>
      <c r="B150" s="2">
        <v>154</v>
      </c>
      <c r="C150" s="2">
        <v>28</v>
      </c>
      <c r="D150" s="2" t="s">
        <v>371</v>
      </c>
      <c r="E150" s="2">
        <v>2999</v>
      </c>
      <c r="F150" s="3" t="s">
        <v>78</v>
      </c>
      <c r="G150" s="3" t="s">
        <v>70</v>
      </c>
      <c r="H150" s="2">
        <v>88</v>
      </c>
      <c r="I150" s="10" t="str">
        <f>IFERROR(VLOOKUP($C150,Merchants!$A$2:$D$41,2,FALSE),"Merchant not found")</f>
        <v>Merchant_028</v>
      </c>
      <c r="J150" s="10" t="str">
        <f>IFERROR(VLOOKUP($C150,Merchants!$A$2:$D$41,3,FALSE),"Merchant not found")</f>
        <v>ecommerce</v>
      </c>
      <c r="K150" s="10" t="str">
        <f>IFERROR(VLOOKUP($C150,Merchants!$A$2:$D$41,4,FALSE),"Merchant not found")</f>
        <v>South</v>
      </c>
      <c r="L150" s="11" t="str">
        <f t="shared" si="2"/>
        <v>Standard</v>
      </c>
    </row>
    <row r="151" spans="1:12" x14ac:dyDescent="0.3">
      <c r="A151" s="5" t="s">
        <v>372</v>
      </c>
      <c r="B151" s="4">
        <v>155</v>
      </c>
      <c r="C151" s="4">
        <v>13</v>
      </c>
      <c r="D151" s="4" t="s">
        <v>373</v>
      </c>
      <c r="E151" s="4">
        <v>149</v>
      </c>
      <c r="F151" s="5" t="s">
        <v>73</v>
      </c>
      <c r="G151" s="5" t="s">
        <v>70</v>
      </c>
      <c r="H151" s="4">
        <v>49</v>
      </c>
      <c r="I151" s="12" t="str">
        <f>IFERROR(VLOOKUP($C151,Merchants!$A$2:$D$41,2,FALSE),"Merchant not found")</f>
        <v>Merchant_013</v>
      </c>
      <c r="J151" s="12" t="str">
        <f>IFERROR(VLOOKUP($C151,Merchants!$A$2:$D$41,3,FALSE),"Merchant not found")</f>
        <v>travel</v>
      </c>
      <c r="K151" s="12" t="str">
        <f>IFERROR(VLOOKUP($C151,Merchants!$A$2:$D$41,4,FALSE),"Merchant not found")</f>
        <v>East</v>
      </c>
      <c r="L151" s="13" t="str">
        <f t="shared" si="2"/>
        <v>Standard</v>
      </c>
    </row>
    <row r="152" spans="1:12" x14ac:dyDescent="0.3">
      <c r="A152" s="3" t="s">
        <v>374</v>
      </c>
      <c r="B152" s="2">
        <v>122</v>
      </c>
      <c r="C152" s="2">
        <v>25</v>
      </c>
      <c r="D152" s="2" t="s">
        <v>375</v>
      </c>
      <c r="E152" s="2">
        <v>299</v>
      </c>
      <c r="F152" s="3" t="s">
        <v>73</v>
      </c>
      <c r="G152" s="3" t="s">
        <v>70</v>
      </c>
      <c r="H152" s="2">
        <v>73</v>
      </c>
      <c r="I152" s="10" t="str">
        <f>IFERROR(VLOOKUP($C152,Merchants!$A$2:$D$41,2,FALSE),"Merchant not found")</f>
        <v>Merchant_025</v>
      </c>
      <c r="J152" s="10" t="str">
        <f>IFERROR(VLOOKUP($C152,Merchants!$A$2:$D$41,3,FALSE),"Merchant not found")</f>
        <v>travel</v>
      </c>
      <c r="K152" s="10" t="str">
        <f>IFERROR(VLOOKUP($C152,Merchants!$A$2:$D$41,4,FALSE),"Merchant not found")</f>
        <v>South</v>
      </c>
      <c r="L152" s="11" t="str">
        <f t="shared" si="2"/>
        <v>Standard</v>
      </c>
    </row>
    <row r="153" spans="1:12" x14ac:dyDescent="0.3">
      <c r="A153" s="5" t="s">
        <v>376</v>
      </c>
      <c r="B153" s="4">
        <v>152</v>
      </c>
      <c r="C153" s="4">
        <v>2</v>
      </c>
      <c r="D153" s="4" t="s">
        <v>377</v>
      </c>
      <c r="E153" s="4">
        <v>49</v>
      </c>
      <c r="F153" s="5" t="s">
        <v>73</v>
      </c>
      <c r="G153" s="5" t="s">
        <v>70</v>
      </c>
      <c r="H153" s="4">
        <v>84</v>
      </c>
      <c r="I153" s="12" t="str">
        <f>IFERROR(VLOOKUP($C153,Merchants!$A$2:$D$41,2,FALSE),"Merchant not found")</f>
        <v>Merchant_002</v>
      </c>
      <c r="J153" s="12" t="str">
        <f>IFERROR(VLOOKUP($C153,Merchants!$A$2:$D$41,3,FALSE),"Merchant not found")</f>
        <v>grocery</v>
      </c>
      <c r="K153" s="12" t="str">
        <f>IFERROR(VLOOKUP($C153,Merchants!$A$2:$D$41,4,FALSE),"Merchant not found")</f>
        <v>West</v>
      </c>
      <c r="L153" s="13" t="str">
        <f t="shared" si="2"/>
        <v>Standard</v>
      </c>
    </row>
    <row r="154" spans="1:12" x14ac:dyDescent="0.3">
      <c r="A154" s="3" t="s">
        <v>378</v>
      </c>
      <c r="B154" s="2">
        <v>290</v>
      </c>
      <c r="C154" s="2">
        <v>4</v>
      </c>
      <c r="D154" s="2" t="s">
        <v>379</v>
      </c>
      <c r="E154" s="2">
        <v>149</v>
      </c>
      <c r="F154" s="3" t="s">
        <v>73</v>
      </c>
      <c r="G154" s="3" t="s">
        <v>70</v>
      </c>
      <c r="H154" s="2">
        <v>77</v>
      </c>
      <c r="I154" s="10" t="str">
        <f>IFERROR(VLOOKUP($C154,Merchants!$A$2:$D$41,2,FALSE),"Merchant not found")</f>
        <v>Merchant_004</v>
      </c>
      <c r="J154" s="10" t="str">
        <f>IFERROR(VLOOKUP($C154,Merchants!$A$2:$D$41,3,FALSE),"Merchant not found")</f>
        <v>ecommerce</v>
      </c>
      <c r="K154" s="10" t="str">
        <f>IFERROR(VLOOKUP($C154,Merchants!$A$2:$D$41,4,FALSE),"Merchant not found")</f>
        <v>East</v>
      </c>
      <c r="L154" s="11" t="str">
        <f t="shared" si="2"/>
        <v>Standard</v>
      </c>
    </row>
    <row r="155" spans="1:12" x14ac:dyDescent="0.3">
      <c r="A155" s="5" t="s">
        <v>380</v>
      </c>
      <c r="B155" s="4">
        <v>147</v>
      </c>
      <c r="C155" s="4">
        <v>15</v>
      </c>
      <c r="D155" s="4" t="s">
        <v>381</v>
      </c>
      <c r="E155" s="4">
        <v>49</v>
      </c>
      <c r="F155" s="5" t="s">
        <v>69</v>
      </c>
      <c r="G155" s="5" t="s">
        <v>70</v>
      </c>
      <c r="H155" s="4">
        <v>77</v>
      </c>
      <c r="I155" s="12" t="str">
        <f>IFERROR(VLOOKUP($C155,Merchants!$A$2:$D$41,2,FALSE),"Merchant not found")</f>
        <v>Merchant_015</v>
      </c>
      <c r="J155" s="12" t="str">
        <f>IFERROR(VLOOKUP($C155,Merchants!$A$2:$D$41,3,FALSE),"Merchant not found")</f>
        <v>travel</v>
      </c>
      <c r="K155" s="12" t="str">
        <f>IFERROR(VLOOKUP($C155,Merchants!$A$2:$D$41,4,FALSE),"Merchant not found")</f>
        <v>North</v>
      </c>
      <c r="L155" s="13" t="str">
        <f t="shared" si="2"/>
        <v>Standard</v>
      </c>
    </row>
    <row r="156" spans="1:12" x14ac:dyDescent="0.3">
      <c r="A156" s="3" t="s">
        <v>382</v>
      </c>
      <c r="B156" s="2">
        <v>326</v>
      </c>
      <c r="C156" s="2">
        <v>13</v>
      </c>
      <c r="D156" s="2" t="s">
        <v>383</v>
      </c>
      <c r="E156" s="2">
        <v>299</v>
      </c>
      <c r="F156" s="3" t="s">
        <v>78</v>
      </c>
      <c r="G156" s="3" t="s">
        <v>70</v>
      </c>
      <c r="H156" s="2">
        <v>79</v>
      </c>
      <c r="I156" s="10" t="str">
        <f>IFERROR(VLOOKUP($C156,Merchants!$A$2:$D$41,2,FALSE),"Merchant not found")</f>
        <v>Merchant_013</v>
      </c>
      <c r="J156" s="10" t="str">
        <f>IFERROR(VLOOKUP($C156,Merchants!$A$2:$D$41,3,FALSE),"Merchant not found")</f>
        <v>travel</v>
      </c>
      <c r="K156" s="10" t="str">
        <f>IFERROR(VLOOKUP($C156,Merchants!$A$2:$D$41,4,FALSE),"Merchant not found")</f>
        <v>East</v>
      </c>
      <c r="L156" s="11" t="str">
        <f t="shared" si="2"/>
        <v>Standard</v>
      </c>
    </row>
    <row r="157" spans="1:12" x14ac:dyDescent="0.3">
      <c r="A157" s="5" t="s">
        <v>384</v>
      </c>
      <c r="B157" s="4">
        <v>338</v>
      </c>
      <c r="C157" s="4">
        <v>9</v>
      </c>
      <c r="D157" s="4" t="s">
        <v>385</v>
      </c>
      <c r="E157" s="4">
        <v>99</v>
      </c>
      <c r="F157" s="5" t="s">
        <v>95</v>
      </c>
      <c r="G157" s="5" t="s">
        <v>70</v>
      </c>
      <c r="H157" s="4">
        <v>80</v>
      </c>
      <c r="I157" s="12" t="str">
        <f>IFERROR(VLOOKUP($C157,Merchants!$A$2:$D$41,2,FALSE),"Merchant not found")</f>
        <v>Merchant_009</v>
      </c>
      <c r="J157" s="12" t="str">
        <f>IFERROR(VLOOKUP($C157,Merchants!$A$2:$D$41,3,FALSE),"Merchant not found")</f>
        <v>ecommerce</v>
      </c>
      <c r="K157" s="12" t="str">
        <f>IFERROR(VLOOKUP($C157,Merchants!$A$2:$D$41,4,FALSE),"Merchant not found")</f>
        <v>North</v>
      </c>
      <c r="L157" s="13" t="str">
        <f t="shared" si="2"/>
        <v>Standard</v>
      </c>
    </row>
    <row r="158" spans="1:12" x14ac:dyDescent="0.3">
      <c r="A158" s="3" t="s">
        <v>386</v>
      </c>
      <c r="B158" s="2">
        <v>21</v>
      </c>
      <c r="C158" s="2">
        <v>20</v>
      </c>
      <c r="D158" s="2" t="s">
        <v>387</v>
      </c>
      <c r="E158" s="2">
        <v>2999</v>
      </c>
      <c r="F158" s="3" t="s">
        <v>73</v>
      </c>
      <c r="G158" s="3" t="s">
        <v>70</v>
      </c>
      <c r="H158" s="2">
        <v>100</v>
      </c>
      <c r="I158" s="10" t="str">
        <f>IFERROR(VLOOKUP($C158,Merchants!$A$2:$D$41,2,FALSE),"Merchant not found")</f>
        <v>Merchant_020</v>
      </c>
      <c r="J158" s="10" t="str">
        <f>IFERROR(VLOOKUP($C158,Merchants!$A$2:$D$41,3,FALSE),"Merchant not found")</f>
        <v>food_delivery</v>
      </c>
      <c r="K158" s="10" t="str">
        <f>IFERROR(VLOOKUP($C158,Merchants!$A$2:$D$41,4,FALSE),"Merchant not found")</f>
        <v>East</v>
      </c>
      <c r="L158" s="11" t="str">
        <f t="shared" si="2"/>
        <v>Standard</v>
      </c>
    </row>
    <row r="159" spans="1:12" x14ac:dyDescent="0.3">
      <c r="A159" s="5" t="s">
        <v>388</v>
      </c>
      <c r="B159" s="4">
        <v>187</v>
      </c>
      <c r="C159" s="4">
        <v>9</v>
      </c>
      <c r="D159" s="4" t="s">
        <v>389</v>
      </c>
      <c r="E159" s="4">
        <v>49</v>
      </c>
      <c r="F159" s="5" t="s">
        <v>95</v>
      </c>
      <c r="G159" s="5" t="s">
        <v>96</v>
      </c>
      <c r="H159" s="4">
        <v>11</v>
      </c>
      <c r="I159" s="12" t="str">
        <f>IFERROR(VLOOKUP($C159,Merchants!$A$2:$D$41,2,FALSE),"Merchant not found")</f>
        <v>Merchant_009</v>
      </c>
      <c r="J159" s="12" t="str">
        <f>IFERROR(VLOOKUP($C159,Merchants!$A$2:$D$41,3,FALSE),"Merchant not found")</f>
        <v>ecommerce</v>
      </c>
      <c r="K159" s="12" t="str">
        <f>IFERROR(VLOOKUP($C159,Merchants!$A$2:$D$41,4,FALSE),"Merchant not found")</f>
        <v>North</v>
      </c>
      <c r="L159" s="13" t="str">
        <f t="shared" si="2"/>
        <v>Standard</v>
      </c>
    </row>
    <row r="160" spans="1:12" x14ac:dyDescent="0.3">
      <c r="A160" s="3" t="s">
        <v>390</v>
      </c>
      <c r="B160" s="2">
        <v>213</v>
      </c>
      <c r="C160" s="2">
        <v>12</v>
      </c>
      <c r="D160" s="2" t="s">
        <v>391</v>
      </c>
      <c r="E160" s="2">
        <v>4999</v>
      </c>
      <c r="F160" s="3" t="s">
        <v>73</v>
      </c>
      <c r="G160" s="3" t="s">
        <v>70</v>
      </c>
      <c r="H160" s="2">
        <v>25</v>
      </c>
      <c r="I160" s="10" t="str">
        <f>IFERROR(VLOOKUP($C160,Merchants!$A$2:$D$41,2,FALSE),"Merchant not found")</f>
        <v>Merchant_012</v>
      </c>
      <c r="J160" s="10" t="str">
        <f>IFERROR(VLOOKUP($C160,Merchants!$A$2:$D$41,3,FALSE),"Merchant not found")</f>
        <v>ecommerce</v>
      </c>
      <c r="K160" s="10" t="str">
        <f>IFERROR(VLOOKUP($C160,Merchants!$A$2:$D$41,4,FALSE),"Merchant not found")</f>
        <v>East</v>
      </c>
      <c r="L160" s="11" t="str">
        <f t="shared" si="2"/>
        <v>Standard</v>
      </c>
    </row>
    <row r="161" spans="1:12" x14ac:dyDescent="0.3">
      <c r="A161" s="5" t="s">
        <v>392</v>
      </c>
      <c r="B161" s="4">
        <v>188</v>
      </c>
      <c r="C161" s="4">
        <v>34</v>
      </c>
      <c r="D161" s="4" t="s">
        <v>393</v>
      </c>
      <c r="E161" s="4">
        <v>2999</v>
      </c>
      <c r="F161" s="5" t="s">
        <v>73</v>
      </c>
      <c r="G161" s="5" t="s">
        <v>70</v>
      </c>
      <c r="H161" s="4">
        <v>64</v>
      </c>
      <c r="I161" s="12" t="str">
        <f>IFERROR(VLOOKUP($C161,Merchants!$A$2:$D$41,2,FALSE),"Merchant not found")</f>
        <v>Merchant_034</v>
      </c>
      <c r="J161" s="12" t="str">
        <f>IFERROR(VLOOKUP($C161,Merchants!$A$2:$D$41,3,FALSE),"Merchant not found")</f>
        <v>travel</v>
      </c>
      <c r="K161" s="12" t="str">
        <f>IFERROR(VLOOKUP($C161,Merchants!$A$2:$D$41,4,FALSE),"Merchant not found")</f>
        <v>South</v>
      </c>
      <c r="L161" s="13" t="str">
        <f t="shared" si="2"/>
        <v>Standard</v>
      </c>
    </row>
    <row r="162" spans="1:12" x14ac:dyDescent="0.3">
      <c r="A162" s="3" t="s">
        <v>394</v>
      </c>
      <c r="B162" s="2">
        <v>85</v>
      </c>
      <c r="C162" s="2">
        <v>17</v>
      </c>
      <c r="D162" s="2" t="s">
        <v>395</v>
      </c>
      <c r="E162" s="2">
        <v>499</v>
      </c>
      <c r="F162" s="3" t="s">
        <v>73</v>
      </c>
      <c r="G162" s="3" t="s">
        <v>70</v>
      </c>
      <c r="H162" s="2">
        <v>61</v>
      </c>
      <c r="I162" s="10" t="str">
        <f>IFERROR(VLOOKUP($C162,Merchants!$A$2:$D$41,2,FALSE),"Merchant not found")</f>
        <v>Merchant_017</v>
      </c>
      <c r="J162" s="10" t="str">
        <f>IFERROR(VLOOKUP($C162,Merchants!$A$2:$D$41,3,FALSE),"Merchant not found")</f>
        <v>grocery</v>
      </c>
      <c r="K162" s="10" t="str">
        <f>IFERROR(VLOOKUP($C162,Merchants!$A$2:$D$41,4,FALSE),"Merchant not found")</f>
        <v>North</v>
      </c>
      <c r="L162" s="11" t="str">
        <f t="shared" si="2"/>
        <v>Standard</v>
      </c>
    </row>
    <row r="163" spans="1:12" x14ac:dyDescent="0.3">
      <c r="A163" s="5" t="s">
        <v>396</v>
      </c>
      <c r="B163" s="4">
        <v>174</v>
      </c>
      <c r="C163" s="4">
        <v>8</v>
      </c>
      <c r="D163" s="4" t="s">
        <v>397</v>
      </c>
      <c r="E163" s="4">
        <v>299</v>
      </c>
      <c r="F163" s="5" t="s">
        <v>78</v>
      </c>
      <c r="G163" s="5" t="s">
        <v>70</v>
      </c>
      <c r="H163" s="4">
        <v>59</v>
      </c>
      <c r="I163" s="12" t="str">
        <f>IFERROR(VLOOKUP($C163,Merchants!$A$2:$D$41,2,FALSE),"Merchant not found")</f>
        <v>Merchant_008</v>
      </c>
      <c r="J163" s="12" t="str">
        <f>IFERROR(VLOOKUP($C163,Merchants!$A$2:$D$41,3,FALSE),"Merchant not found")</f>
        <v>food_delivery</v>
      </c>
      <c r="K163" s="12" t="str">
        <f>IFERROR(VLOOKUP($C163,Merchants!$A$2:$D$41,4,FALSE),"Merchant not found")</f>
        <v>North</v>
      </c>
      <c r="L163" s="13" t="str">
        <f t="shared" si="2"/>
        <v>Standard</v>
      </c>
    </row>
    <row r="164" spans="1:12" x14ac:dyDescent="0.3">
      <c r="A164" s="3" t="s">
        <v>398</v>
      </c>
      <c r="B164" s="2">
        <v>116</v>
      </c>
      <c r="C164" s="2">
        <v>26</v>
      </c>
      <c r="D164" s="2" t="s">
        <v>399</v>
      </c>
      <c r="E164" s="2">
        <v>99</v>
      </c>
      <c r="F164" s="3" t="s">
        <v>78</v>
      </c>
      <c r="G164" s="3" t="s">
        <v>70</v>
      </c>
      <c r="H164" s="2">
        <v>71</v>
      </c>
      <c r="I164" s="10" t="str">
        <f>IFERROR(VLOOKUP($C164,Merchants!$A$2:$D$41,2,FALSE),"Merchant not found")</f>
        <v>Merchant_026</v>
      </c>
      <c r="J164" s="10" t="str">
        <f>IFERROR(VLOOKUP($C164,Merchants!$A$2:$D$41,3,FALSE),"Merchant not found")</f>
        <v>food_delivery</v>
      </c>
      <c r="K164" s="10" t="str">
        <f>IFERROR(VLOOKUP($C164,Merchants!$A$2:$D$41,4,FALSE),"Merchant not found")</f>
        <v>East</v>
      </c>
      <c r="L164" s="11" t="str">
        <f t="shared" si="2"/>
        <v>Standard</v>
      </c>
    </row>
    <row r="165" spans="1:12" x14ac:dyDescent="0.3">
      <c r="A165" s="5" t="s">
        <v>400</v>
      </c>
      <c r="B165" s="4">
        <v>203</v>
      </c>
      <c r="C165" s="4">
        <v>1</v>
      </c>
      <c r="D165" s="4" t="s">
        <v>401</v>
      </c>
      <c r="E165" s="4">
        <v>149</v>
      </c>
      <c r="F165" s="5" t="s">
        <v>69</v>
      </c>
      <c r="G165" s="5" t="s">
        <v>70</v>
      </c>
      <c r="H165" s="4">
        <v>33</v>
      </c>
      <c r="I165" s="12" t="str">
        <f>IFERROR(VLOOKUP($C165,Merchants!$A$2:$D$41,2,FALSE),"Merchant not found")</f>
        <v>Merchant_001</v>
      </c>
      <c r="J165" s="12" t="str">
        <f>IFERROR(VLOOKUP($C165,Merchants!$A$2:$D$41,3,FALSE),"Merchant not found")</f>
        <v>ecommerce</v>
      </c>
      <c r="K165" s="12" t="str">
        <f>IFERROR(VLOOKUP($C165,Merchants!$A$2:$D$41,4,FALSE),"Merchant not found")</f>
        <v>South</v>
      </c>
      <c r="L165" s="13" t="str">
        <f t="shared" si="2"/>
        <v>Standard</v>
      </c>
    </row>
    <row r="166" spans="1:12" x14ac:dyDescent="0.3">
      <c r="A166" s="3" t="s">
        <v>402</v>
      </c>
      <c r="B166" s="2">
        <v>189</v>
      </c>
      <c r="C166" s="2">
        <v>17</v>
      </c>
      <c r="D166" s="2" t="s">
        <v>403</v>
      </c>
      <c r="E166" s="2">
        <v>99</v>
      </c>
      <c r="F166" s="3" t="s">
        <v>73</v>
      </c>
      <c r="G166" s="3" t="s">
        <v>70</v>
      </c>
      <c r="H166" s="2">
        <v>74</v>
      </c>
      <c r="I166" s="10" t="str">
        <f>IFERROR(VLOOKUP($C166,Merchants!$A$2:$D$41,2,FALSE),"Merchant not found")</f>
        <v>Merchant_017</v>
      </c>
      <c r="J166" s="10" t="str">
        <f>IFERROR(VLOOKUP($C166,Merchants!$A$2:$D$41,3,FALSE),"Merchant not found")</f>
        <v>grocery</v>
      </c>
      <c r="K166" s="10" t="str">
        <f>IFERROR(VLOOKUP($C166,Merchants!$A$2:$D$41,4,FALSE),"Merchant not found")</f>
        <v>North</v>
      </c>
      <c r="L166" s="11" t="str">
        <f t="shared" si="2"/>
        <v>Standard</v>
      </c>
    </row>
    <row r="167" spans="1:12" x14ac:dyDescent="0.3">
      <c r="A167" s="5" t="s">
        <v>404</v>
      </c>
      <c r="B167" s="4">
        <v>56</v>
      </c>
      <c r="C167" s="4">
        <v>15</v>
      </c>
      <c r="D167" s="4" t="s">
        <v>405</v>
      </c>
      <c r="E167" s="4">
        <v>299</v>
      </c>
      <c r="F167" s="5" t="s">
        <v>73</v>
      </c>
      <c r="G167" s="5" t="s">
        <v>70</v>
      </c>
      <c r="H167" s="4">
        <v>60</v>
      </c>
      <c r="I167" s="12" t="str">
        <f>IFERROR(VLOOKUP($C167,Merchants!$A$2:$D$41,2,FALSE),"Merchant not found")</f>
        <v>Merchant_015</v>
      </c>
      <c r="J167" s="12" t="str">
        <f>IFERROR(VLOOKUP($C167,Merchants!$A$2:$D$41,3,FALSE),"Merchant not found")</f>
        <v>travel</v>
      </c>
      <c r="K167" s="12" t="str">
        <f>IFERROR(VLOOKUP($C167,Merchants!$A$2:$D$41,4,FALSE),"Merchant not found")</f>
        <v>North</v>
      </c>
      <c r="L167" s="13" t="str">
        <f t="shared" si="2"/>
        <v>Standard</v>
      </c>
    </row>
    <row r="168" spans="1:12" x14ac:dyDescent="0.3">
      <c r="A168" s="3" t="s">
        <v>406</v>
      </c>
      <c r="B168" s="2">
        <v>288</v>
      </c>
      <c r="C168" s="2">
        <v>21</v>
      </c>
      <c r="D168" s="2" t="s">
        <v>407</v>
      </c>
      <c r="E168" s="2">
        <v>4999</v>
      </c>
      <c r="F168" s="3" t="s">
        <v>69</v>
      </c>
      <c r="G168" s="3" t="s">
        <v>96</v>
      </c>
      <c r="H168" s="2">
        <v>78</v>
      </c>
      <c r="I168" s="10" t="str">
        <f>IFERROR(VLOOKUP($C168,Merchants!$A$2:$D$41,2,FALSE),"Merchant not found")</f>
        <v>Merchant_021</v>
      </c>
      <c r="J168" s="10" t="str">
        <f>IFERROR(VLOOKUP($C168,Merchants!$A$2:$D$41,3,FALSE),"Merchant not found")</f>
        <v>food_delivery</v>
      </c>
      <c r="K168" s="10" t="str">
        <f>IFERROR(VLOOKUP($C168,Merchants!$A$2:$D$41,4,FALSE),"Merchant not found")</f>
        <v>East</v>
      </c>
      <c r="L168" s="11" t="str">
        <f t="shared" si="2"/>
        <v>Standard</v>
      </c>
    </row>
    <row r="169" spans="1:12" x14ac:dyDescent="0.3">
      <c r="A169" s="5" t="s">
        <v>408</v>
      </c>
      <c r="B169" s="4">
        <v>326</v>
      </c>
      <c r="C169" s="4">
        <v>30</v>
      </c>
      <c r="D169" s="4" t="s">
        <v>181</v>
      </c>
      <c r="E169" s="4">
        <v>99</v>
      </c>
      <c r="F169" s="5" t="s">
        <v>95</v>
      </c>
      <c r="G169" s="5" t="s">
        <v>70</v>
      </c>
      <c r="H169" s="4">
        <v>89</v>
      </c>
      <c r="I169" s="12" t="str">
        <f>IFERROR(VLOOKUP($C169,Merchants!$A$2:$D$41,2,FALSE),"Merchant not found")</f>
        <v>Merchant_030</v>
      </c>
      <c r="J169" s="12" t="str">
        <f>IFERROR(VLOOKUP($C169,Merchants!$A$2:$D$41,3,FALSE),"Merchant not found")</f>
        <v>travel</v>
      </c>
      <c r="K169" s="12" t="str">
        <f>IFERROR(VLOOKUP($C169,Merchants!$A$2:$D$41,4,FALSE),"Merchant not found")</f>
        <v>West</v>
      </c>
      <c r="L169" s="13" t="str">
        <f t="shared" si="2"/>
        <v>Standard</v>
      </c>
    </row>
    <row r="170" spans="1:12" x14ac:dyDescent="0.3">
      <c r="A170" s="3" t="s">
        <v>409</v>
      </c>
      <c r="B170" s="2">
        <v>60</v>
      </c>
      <c r="C170" s="2">
        <v>9</v>
      </c>
      <c r="D170" s="2" t="s">
        <v>410</v>
      </c>
      <c r="E170" s="2">
        <v>49</v>
      </c>
      <c r="F170" s="3" t="s">
        <v>78</v>
      </c>
      <c r="G170" s="3" t="s">
        <v>70</v>
      </c>
      <c r="H170" s="2">
        <v>5</v>
      </c>
      <c r="I170" s="10" t="str">
        <f>IFERROR(VLOOKUP($C170,Merchants!$A$2:$D$41,2,FALSE),"Merchant not found")</f>
        <v>Merchant_009</v>
      </c>
      <c r="J170" s="10" t="str">
        <f>IFERROR(VLOOKUP($C170,Merchants!$A$2:$D$41,3,FALSE),"Merchant not found")</f>
        <v>ecommerce</v>
      </c>
      <c r="K170" s="10" t="str">
        <f>IFERROR(VLOOKUP($C170,Merchants!$A$2:$D$41,4,FALSE),"Merchant not found")</f>
        <v>North</v>
      </c>
      <c r="L170" s="11" t="str">
        <f t="shared" si="2"/>
        <v>Standard</v>
      </c>
    </row>
    <row r="171" spans="1:12" x14ac:dyDescent="0.3">
      <c r="A171" s="5" t="s">
        <v>411</v>
      </c>
      <c r="B171" s="4">
        <v>60</v>
      </c>
      <c r="C171" s="4">
        <v>7</v>
      </c>
      <c r="D171" s="4" t="s">
        <v>412</v>
      </c>
      <c r="E171" s="4">
        <v>2999</v>
      </c>
      <c r="F171" s="5" t="s">
        <v>69</v>
      </c>
      <c r="G171" s="5" t="s">
        <v>70</v>
      </c>
      <c r="H171" s="4">
        <v>30</v>
      </c>
      <c r="I171" s="12" t="str">
        <f>IFERROR(VLOOKUP($C171,Merchants!$A$2:$D$41,2,FALSE),"Merchant not found")</f>
        <v>Merchant_007</v>
      </c>
      <c r="J171" s="12" t="str">
        <f>IFERROR(VLOOKUP($C171,Merchants!$A$2:$D$41,3,FALSE),"Merchant not found")</f>
        <v>food_delivery</v>
      </c>
      <c r="K171" s="12" t="str">
        <f>IFERROR(VLOOKUP($C171,Merchants!$A$2:$D$41,4,FALSE),"Merchant not found")</f>
        <v>East</v>
      </c>
      <c r="L171" s="13" t="str">
        <f t="shared" si="2"/>
        <v>Standard</v>
      </c>
    </row>
    <row r="172" spans="1:12" x14ac:dyDescent="0.3">
      <c r="A172" s="3" t="s">
        <v>413</v>
      </c>
      <c r="B172" s="2">
        <v>199</v>
      </c>
      <c r="C172" s="2">
        <v>30</v>
      </c>
      <c r="D172" s="2" t="s">
        <v>414</v>
      </c>
      <c r="E172" s="2">
        <v>149</v>
      </c>
      <c r="F172" s="3" t="s">
        <v>78</v>
      </c>
      <c r="G172" s="3" t="s">
        <v>70</v>
      </c>
      <c r="H172" s="2">
        <v>47</v>
      </c>
      <c r="I172" s="10" t="str">
        <f>IFERROR(VLOOKUP($C172,Merchants!$A$2:$D$41,2,FALSE),"Merchant not found")</f>
        <v>Merchant_030</v>
      </c>
      <c r="J172" s="10" t="str">
        <f>IFERROR(VLOOKUP($C172,Merchants!$A$2:$D$41,3,FALSE),"Merchant not found")</f>
        <v>travel</v>
      </c>
      <c r="K172" s="10" t="str">
        <f>IFERROR(VLOOKUP($C172,Merchants!$A$2:$D$41,4,FALSE),"Merchant not found")</f>
        <v>West</v>
      </c>
      <c r="L172" s="11" t="str">
        <f t="shared" si="2"/>
        <v>Standard</v>
      </c>
    </row>
    <row r="173" spans="1:12" x14ac:dyDescent="0.3">
      <c r="A173" s="5" t="s">
        <v>415</v>
      </c>
      <c r="B173" s="4">
        <v>277</v>
      </c>
      <c r="C173" s="4">
        <v>27</v>
      </c>
      <c r="D173" s="4" t="s">
        <v>416</v>
      </c>
      <c r="E173" s="4">
        <v>49</v>
      </c>
      <c r="F173" s="5" t="s">
        <v>73</v>
      </c>
      <c r="G173" s="5" t="s">
        <v>70</v>
      </c>
      <c r="H173" s="4">
        <v>75</v>
      </c>
      <c r="I173" s="12" t="str">
        <f>IFERROR(VLOOKUP($C173,Merchants!$A$2:$D$41,2,FALSE),"Merchant not found")</f>
        <v>Merchant_027</v>
      </c>
      <c r="J173" s="12" t="str">
        <f>IFERROR(VLOOKUP($C173,Merchants!$A$2:$D$41,3,FALSE),"Merchant not found")</f>
        <v>ecommerce</v>
      </c>
      <c r="K173" s="12" t="str">
        <f>IFERROR(VLOOKUP($C173,Merchants!$A$2:$D$41,4,FALSE),"Merchant not found")</f>
        <v>North</v>
      </c>
      <c r="L173" s="13" t="str">
        <f t="shared" si="2"/>
        <v>Standard</v>
      </c>
    </row>
    <row r="174" spans="1:12" x14ac:dyDescent="0.3">
      <c r="A174" s="3" t="s">
        <v>417</v>
      </c>
      <c r="B174" s="2">
        <v>213</v>
      </c>
      <c r="C174" s="2">
        <v>7</v>
      </c>
      <c r="D174" s="2" t="s">
        <v>418</v>
      </c>
      <c r="E174" s="2">
        <v>799</v>
      </c>
      <c r="F174" s="3" t="s">
        <v>78</v>
      </c>
      <c r="G174" s="3" t="s">
        <v>70</v>
      </c>
      <c r="H174" s="2">
        <v>62</v>
      </c>
      <c r="I174" s="10" t="str">
        <f>IFERROR(VLOOKUP($C174,Merchants!$A$2:$D$41,2,FALSE),"Merchant not found")</f>
        <v>Merchant_007</v>
      </c>
      <c r="J174" s="10" t="str">
        <f>IFERROR(VLOOKUP($C174,Merchants!$A$2:$D$41,3,FALSE),"Merchant not found")</f>
        <v>food_delivery</v>
      </c>
      <c r="K174" s="10" t="str">
        <f>IFERROR(VLOOKUP($C174,Merchants!$A$2:$D$41,4,FALSE),"Merchant not found")</f>
        <v>East</v>
      </c>
      <c r="L174" s="11" t="str">
        <f t="shared" si="2"/>
        <v>Standard</v>
      </c>
    </row>
    <row r="175" spans="1:12" x14ac:dyDescent="0.3">
      <c r="A175" s="5" t="s">
        <v>419</v>
      </c>
      <c r="B175" s="4">
        <v>17</v>
      </c>
      <c r="C175" s="4">
        <v>24</v>
      </c>
      <c r="D175" s="4" t="s">
        <v>420</v>
      </c>
      <c r="E175" s="4">
        <v>299</v>
      </c>
      <c r="F175" s="5" t="s">
        <v>73</v>
      </c>
      <c r="G175" s="5" t="s">
        <v>70</v>
      </c>
      <c r="H175" s="4">
        <v>27</v>
      </c>
      <c r="I175" s="12" t="str">
        <f>IFERROR(VLOOKUP($C175,Merchants!$A$2:$D$41,2,FALSE),"Merchant not found")</f>
        <v>Merchant_024</v>
      </c>
      <c r="J175" s="12" t="str">
        <f>IFERROR(VLOOKUP($C175,Merchants!$A$2:$D$41,3,FALSE),"Merchant not found")</f>
        <v>grocery</v>
      </c>
      <c r="K175" s="12" t="str">
        <f>IFERROR(VLOOKUP($C175,Merchants!$A$2:$D$41,4,FALSE),"Merchant not found")</f>
        <v>North</v>
      </c>
      <c r="L175" s="13" t="str">
        <f t="shared" si="2"/>
        <v>Standard</v>
      </c>
    </row>
    <row r="176" spans="1:12" x14ac:dyDescent="0.3">
      <c r="A176" s="3" t="s">
        <v>421</v>
      </c>
      <c r="B176" s="2">
        <v>186</v>
      </c>
      <c r="C176" s="2">
        <v>7</v>
      </c>
      <c r="D176" s="2" t="s">
        <v>422</v>
      </c>
      <c r="E176" s="2">
        <v>1499</v>
      </c>
      <c r="F176" s="3" t="s">
        <v>95</v>
      </c>
      <c r="G176" s="3" t="s">
        <v>96</v>
      </c>
      <c r="H176" s="2">
        <v>87</v>
      </c>
      <c r="I176" s="10" t="str">
        <f>IFERROR(VLOOKUP($C176,Merchants!$A$2:$D$41,2,FALSE),"Merchant not found")</f>
        <v>Merchant_007</v>
      </c>
      <c r="J176" s="10" t="str">
        <f>IFERROR(VLOOKUP($C176,Merchants!$A$2:$D$41,3,FALSE),"Merchant not found")</f>
        <v>food_delivery</v>
      </c>
      <c r="K176" s="10" t="str">
        <f>IFERROR(VLOOKUP($C176,Merchants!$A$2:$D$41,4,FALSE),"Merchant not found")</f>
        <v>East</v>
      </c>
      <c r="L176" s="11" t="str">
        <f t="shared" si="2"/>
        <v>Standard</v>
      </c>
    </row>
    <row r="177" spans="1:12" x14ac:dyDescent="0.3">
      <c r="A177" s="5" t="s">
        <v>423</v>
      </c>
      <c r="B177" s="4">
        <v>331</v>
      </c>
      <c r="C177" s="4">
        <v>23</v>
      </c>
      <c r="D177" s="4" t="s">
        <v>424</v>
      </c>
      <c r="E177" s="4">
        <v>149</v>
      </c>
      <c r="F177" s="5" t="s">
        <v>73</v>
      </c>
      <c r="G177" s="5" t="s">
        <v>70</v>
      </c>
      <c r="H177" s="4">
        <v>7</v>
      </c>
      <c r="I177" s="12" t="str">
        <f>IFERROR(VLOOKUP($C177,Merchants!$A$2:$D$41,2,FALSE),"Merchant not found")</f>
        <v>Merchant_023</v>
      </c>
      <c r="J177" s="12" t="str">
        <f>IFERROR(VLOOKUP($C177,Merchants!$A$2:$D$41,3,FALSE),"Merchant not found")</f>
        <v>travel</v>
      </c>
      <c r="K177" s="12" t="str">
        <f>IFERROR(VLOOKUP($C177,Merchants!$A$2:$D$41,4,FALSE),"Merchant not found")</f>
        <v>North</v>
      </c>
      <c r="L177" s="13" t="str">
        <f t="shared" si="2"/>
        <v>Standard</v>
      </c>
    </row>
    <row r="178" spans="1:12" x14ac:dyDescent="0.3">
      <c r="A178" s="3" t="s">
        <v>425</v>
      </c>
      <c r="B178" s="2">
        <v>63</v>
      </c>
      <c r="C178" s="2">
        <v>30</v>
      </c>
      <c r="D178" s="2" t="s">
        <v>426</v>
      </c>
      <c r="E178" s="2">
        <v>1499</v>
      </c>
      <c r="F178" s="3" t="s">
        <v>95</v>
      </c>
      <c r="G178" s="3" t="s">
        <v>70</v>
      </c>
      <c r="H178" s="2">
        <v>11</v>
      </c>
      <c r="I178" s="10" t="str">
        <f>IFERROR(VLOOKUP($C178,Merchants!$A$2:$D$41,2,FALSE),"Merchant not found")</f>
        <v>Merchant_030</v>
      </c>
      <c r="J178" s="10" t="str">
        <f>IFERROR(VLOOKUP($C178,Merchants!$A$2:$D$41,3,FALSE),"Merchant not found")</f>
        <v>travel</v>
      </c>
      <c r="K178" s="10" t="str">
        <f>IFERROR(VLOOKUP($C178,Merchants!$A$2:$D$41,4,FALSE),"Merchant not found")</f>
        <v>West</v>
      </c>
      <c r="L178" s="11" t="str">
        <f t="shared" si="2"/>
        <v>Standard</v>
      </c>
    </row>
    <row r="179" spans="1:12" x14ac:dyDescent="0.3">
      <c r="A179" s="5" t="s">
        <v>427</v>
      </c>
      <c r="B179" s="4">
        <v>328</v>
      </c>
      <c r="C179" s="4">
        <v>39</v>
      </c>
      <c r="D179" s="4" t="s">
        <v>428</v>
      </c>
      <c r="E179" s="4">
        <v>4999</v>
      </c>
      <c r="F179" s="5" t="s">
        <v>69</v>
      </c>
      <c r="G179" s="5" t="s">
        <v>121</v>
      </c>
      <c r="H179" s="4">
        <v>2</v>
      </c>
      <c r="I179" s="12" t="str">
        <f>IFERROR(VLOOKUP($C179,Merchants!$A$2:$D$41,2,FALSE),"Merchant not found")</f>
        <v>Merchant_039</v>
      </c>
      <c r="J179" s="12" t="str">
        <f>IFERROR(VLOOKUP($C179,Merchants!$A$2:$D$41,3,FALSE),"Merchant not found")</f>
        <v>entertainment</v>
      </c>
      <c r="K179" s="12" t="str">
        <f>IFERROR(VLOOKUP($C179,Merchants!$A$2:$D$41,4,FALSE),"Merchant not found")</f>
        <v>North</v>
      </c>
      <c r="L179" s="13" t="str">
        <f t="shared" si="2"/>
        <v>High-Value Merchant Day</v>
      </c>
    </row>
    <row r="180" spans="1:12" x14ac:dyDescent="0.3">
      <c r="A180" s="3" t="s">
        <v>429</v>
      </c>
      <c r="B180" s="2">
        <v>65</v>
      </c>
      <c r="C180" s="2">
        <v>37</v>
      </c>
      <c r="D180" s="2" t="s">
        <v>430</v>
      </c>
      <c r="E180" s="2">
        <v>2999</v>
      </c>
      <c r="F180" s="3" t="s">
        <v>95</v>
      </c>
      <c r="G180" s="3" t="s">
        <v>70</v>
      </c>
      <c r="H180" s="2">
        <v>26</v>
      </c>
      <c r="I180" s="10" t="str">
        <f>IFERROR(VLOOKUP($C180,Merchants!$A$2:$D$41,2,FALSE),"Merchant not found")</f>
        <v>Merchant_037</v>
      </c>
      <c r="J180" s="10" t="str">
        <f>IFERROR(VLOOKUP($C180,Merchants!$A$2:$D$41,3,FALSE),"Merchant not found")</f>
        <v>entertainment</v>
      </c>
      <c r="K180" s="10" t="str">
        <f>IFERROR(VLOOKUP($C180,Merchants!$A$2:$D$41,4,FALSE),"Merchant not found")</f>
        <v>South</v>
      </c>
      <c r="L180" s="11" t="str">
        <f t="shared" si="2"/>
        <v>Standard</v>
      </c>
    </row>
    <row r="181" spans="1:12" x14ac:dyDescent="0.3">
      <c r="A181" s="5" t="s">
        <v>431</v>
      </c>
      <c r="B181" s="4">
        <v>301</v>
      </c>
      <c r="C181" s="4">
        <v>14</v>
      </c>
      <c r="D181" s="4" t="s">
        <v>432</v>
      </c>
      <c r="E181" s="4">
        <v>149</v>
      </c>
      <c r="F181" s="5" t="s">
        <v>73</v>
      </c>
      <c r="G181" s="5" t="s">
        <v>70</v>
      </c>
      <c r="H181" s="4">
        <v>29</v>
      </c>
      <c r="I181" s="12" t="str">
        <f>IFERROR(VLOOKUP($C181,Merchants!$A$2:$D$41,2,FALSE),"Merchant not found")</f>
        <v>Merchant_014</v>
      </c>
      <c r="J181" s="12" t="str">
        <f>IFERROR(VLOOKUP($C181,Merchants!$A$2:$D$41,3,FALSE),"Merchant not found")</f>
        <v>grocery</v>
      </c>
      <c r="K181" s="12" t="str">
        <f>IFERROR(VLOOKUP($C181,Merchants!$A$2:$D$41,4,FALSE),"Merchant not found")</f>
        <v>East</v>
      </c>
      <c r="L181" s="13" t="str">
        <f t="shared" si="2"/>
        <v>Standard</v>
      </c>
    </row>
    <row r="182" spans="1:12" x14ac:dyDescent="0.3">
      <c r="A182" s="3" t="s">
        <v>433</v>
      </c>
      <c r="B182" s="2">
        <v>306</v>
      </c>
      <c r="C182" s="2">
        <v>1</v>
      </c>
      <c r="D182" s="2" t="s">
        <v>434</v>
      </c>
      <c r="E182" s="2">
        <v>299</v>
      </c>
      <c r="F182" s="3" t="s">
        <v>73</v>
      </c>
      <c r="G182" s="3" t="s">
        <v>96</v>
      </c>
      <c r="H182" s="2">
        <v>35</v>
      </c>
      <c r="I182" s="10" t="str">
        <f>IFERROR(VLOOKUP($C182,Merchants!$A$2:$D$41,2,FALSE),"Merchant not found")</f>
        <v>Merchant_001</v>
      </c>
      <c r="J182" s="10" t="str">
        <f>IFERROR(VLOOKUP($C182,Merchants!$A$2:$D$41,3,FALSE),"Merchant not found")</f>
        <v>ecommerce</v>
      </c>
      <c r="K182" s="10" t="str">
        <f>IFERROR(VLOOKUP($C182,Merchants!$A$2:$D$41,4,FALSE),"Merchant not found")</f>
        <v>South</v>
      </c>
      <c r="L182" s="11" t="str">
        <f t="shared" si="2"/>
        <v>Standard</v>
      </c>
    </row>
    <row r="183" spans="1:12" x14ac:dyDescent="0.3">
      <c r="A183" s="5" t="s">
        <v>435</v>
      </c>
      <c r="B183" s="4">
        <v>277</v>
      </c>
      <c r="C183" s="4">
        <v>17</v>
      </c>
      <c r="D183" s="4" t="s">
        <v>436</v>
      </c>
      <c r="E183" s="4">
        <v>299</v>
      </c>
      <c r="F183" s="5" t="s">
        <v>73</v>
      </c>
      <c r="G183" s="5" t="s">
        <v>70</v>
      </c>
      <c r="H183" s="4">
        <v>22</v>
      </c>
      <c r="I183" s="12" t="str">
        <f>IFERROR(VLOOKUP($C183,Merchants!$A$2:$D$41,2,FALSE),"Merchant not found")</f>
        <v>Merchant_017</v>
      </c>
      <c r="J183" s="12" t="str">
        <f>IFERROR(VLOOKUP($C183,Merchants!$A$2:$D$41,3,FALSE),"Merchant not found")</f>
        <v>grocery</v>
      </c>
      <c r="K183" s="12" t="str">
        <f>IFERROR(VLOOKUP($C183,Merchants!$A$2:$D$41,4,FALSE),"Merchant not found")</f>
        <v>North</v>
      </c>
      <c r="L183" s="13" t="str">
        <f t="shared" si="2"/>
        <v>Standard</v>
      </c>
    </row>
    <row r="184" spans="1:12" x14ac:dyDescent="0.3">
      <c r="A184" s="3" t="s">
        <v>437</v>
      </c>
      <c r="B184" s="2">
        <v>14</v>
      </c>
      <c r="C184" s="2">
        <v>9</v>
      </c>
      <c r="D184" s="2" t="s">
        <v>438</v>
      </c>
      <c r="E184" s="2">
        <v>499</v>
      </c>
      <c r="F184" s="3" t="s">
        <v>73</v>
      </c>
      <c r="G184" s="3" t="s">
        <v>70</v>
      </c>
      <c r="H184" s="2">
        <v>1</v>
      </c>
      <c r="I184" s="10" t="str">
        <f>IFERROR(VLOOKUP($C184,Merchants!$A$2:$D$41,2,FALSE),"Merchant not found")</f>
        <v>Merchant_009</v>
      </c>
      <c r="J184" s="10" t="str">
        <f>IFERROR(VLOOKUP($C184,Merchants!$A$2:$D$41,3,FALSE),"Merchant not found")</f>
        <v>ecommerce</v>
      </c>
      <c r="K184" s="10" t="str">
        <f>IFERROR(VLOOKUP($C184,Merchants!$A$2:$D$41,4,FALSE),"Merchant not found")</f>
        <v>North</v>
      </c>
      <c r="L184" s="11" t="str">
        <f t="shared" si="2"/>
        <v>Standard</v>
      </c>
    </row>
    <row r="185" spans="1:12" x14ac:dyDescent="0.3">
      <c r="A185" s="5" t="s">
        <v>439</v>
      </c>
      <c r="B185" s="4">
        <v>166</v>
      </c>
      <c r="C185" s="4">
        <v>2</v>
      </c>
      <c r="D185" s="4" t="s">
        <v>440</v>
      </c>
      <c r="E185" s="4">
        <v>299</v>
      </c>
      <c r="F185" s="5" t="s">
        <v>95</v>
      </c>
      <c r="G185" s="5" t="s">
        <v>70</v>
      </c>
      <c r="H185" s="4">
        <v>22</v>
      </c>
      <c r="I185" s="12" t="str">
        <f>IFERROR(VLOOKUP($C185,Merchants!$A$2:$D$41,2,FALSE),"Merchant not found")</f>
        <v>Merchant_002</v>
      </c>
      <c r="J185" s="12" t="str">
        <f>IFERROR(VLOOKUP($C185,Merchants!$A$2:$D$41,3,FALSE),"Merchant not found")</f>
        <v>grocery</v>
      </c>
      <c r="K185" s="12" t="str">
        <f>IFERROR(VLOOKUP($C185,Merchants!$A$2:$D$41,4,FALSE),"Merchant not found")</f>
        <v>West</v>
      </c>
      <c r="L185" s="13" t="str">
        <f t="shared" si="2"/>
        <v>Standard</v>
      </c>
    </row>
    <row r="186" spans="1:12" x14ac:dyDescent="0.3">
      <c r="A186" s="3" t="s">
        <v>441</v>
      </c>
      <c r="B186" s="2">
        <v>216</v>
      </c>
      <c r="C186" s="2">
        <v>34</v>
      </c>
      <c r="D186" s="2" t="s">
        <v>442</v>
      </c>
      <c r="E186" s="2">
        <v>299</v>
      </c>
      <c r="F186" s="3" t="s">
        <v>95</v>
      </c>
      <c r="G186" s="3" t="s">
        <v>70</v>
      </c>
      <c r="H186" s="2">
        <v>14</v>
      </c>
      <c r="I186" s="10" t="str">
        <f>IFERROR(VLOOKUP($C186,Merchants!$A$2:$D$41,2,FALSE),"Merchant not found")</f>
        <v>Merchant_034</v>
      </c>
      <c r="J186" s="10" t="str">
        <f>IFERROR(VLOOKUP($C186,Merchants!$A$2:$D$41,3,FALSE),"Merchant not found")</f>
        <v>travel</v>
      </c>
      <c r="K186" s="10" t="str">
        <f>IFERROR(VLOOKUP($C186,Merchants!$A$2:$D$41,4,FALSE),"Merchant not found")</f>
        <v>South</v>
      </c>
      <c r="L186" s="11" t="str">
        <f t="shared" si="2"/>
        <v>Standard</v>
      </c>
    </row>
    <row r="187" spans="1:12" x14ac:dyDescent="0.3">
      <c r="A187" s="5" t="s">
        <v>443</v>
      </c>
      <c r="B187" s="4">
        <v>230</v>
      </c>
      <c r="C187" s="4">
        <v>24</v>
      </c>
      <c r="D187" s="4" t="s">
        <v>444</v>
      </c>
      <c r="E187" s="4">
        <v>49</v>
      </c>
      <c r="F187" s="5" t="s">
        <v>73</v>
      </c>
      <c r="G187" s="5" t="s">
        <v>70</v>
      </c>
      <c r="H187" s="4">
        <v>65</v>
      </c>
      <c r="I187" s="12" t="str">
        <f>IFERROR(VLOOKUP($C187,Merchants!$A$2:$D$41,2,FALSE),"Merchant not found")</f>
        <v>Merchant_024</v>
      </c>
      <c r="J187" s="12" t="str">
        <f>IFERROR(VLOOKUP($C187,Merchants!$A$2:$D$41,3,FALSE),"Merchant not found")</f>
        <v>grocery</v>
      </c>
      <c r="K187" s="12" t="str">
        <f>IFERROR(VLOOKUP($C187,Merchants!$A$2:$D$41,4,FALSE),"Merchant not found")</f>
        <v>North</v>
      </c>
      <c r="L187" s="13" t="str">
        <f t="shared" si="2"/>
        <v>Standard</v>
      </c>
    </row>
    <row r="188" spans="1:12" x14ac:dyDescent="0.3">
      <c r="A188" s="3" t="s">
        <v>445</v>
      </c>
      <c r="B188" s="2">
        <v>258</v>
      </c>
      <c r="C188" s="2">
        <v>15</v>
      </c>
      <c r="D188" s="2" t="s">
        <v>446</v>
      </c>
      <c r="E188" s="2">
        <v>499</v>
      </c>
      <c r="F188" s="3" t="s">
        <v>69</v>
      </c>
      <c r="G188" s="3" t="s">
        <v>70</v>
      </c>
      <c r="H188" s="2">
        <v>78</v>
      </c>
      <c r="I188" s="10" t="str">
        <f>IFERROR(VLOOKUP($C188,Merchants!$A$2:$D$41,2,FALSE),"Merchant not found")</f>
        <v>Merchant_015</v>
      </c>
      <c r="J188" s="10" t="str">
        <f>IFERROR(VLOOKUP($C188,Merchants!$A$2:$D$41,3,FALSE),"Merchant not found")</f>
        <v>travel</v>
      </c>
      <c r="K188" s="10" t="str">
        <f>IFERROR(VLOOKUP($C188,Merchants!$A$2:$D$41,4,FALSE),"Merchant not found")</f>
        <v>North</v>
      </c>
      <c r="L188" s="11" t="str">
        <f t="shared" si="2"/>
        <v>Standard</v>
      </c>
    </row>
    <row r="189" spans="1:12" x14ac:dyDescent="0.3">
      <c r="A189" s="5" t="s">
        <v>447</v>
      </c>
      <c r="B189" s="4">
        <v>338</v>
      </c>
      <c r="C189" s="4">
        <v>34</v>
      </c>
      <c r="D189" s="4" t="s">
        <v>448</v>
      </c>
      <c r="E189" s="4">
        <v>49</v>
      </c>
      <c r="F189" s="5" t="s">
        <v>73</v>
      </c>
      <c r="G189" s="5" t="s">
        <v>70</v>
      </c>
      <c r="H189" s="4">
        <v>38</v>
      </c>
      <c r="I189" s="12" t="str">
        <f>IFERROR(VLOOKUP($C189,Merchants!$A$2:$D$41,2,FALSE),"Merchant not found")</f>
        <v>Merchant_034</v>
      </c>
      <c r="J189" s="12" t="str">
        <f>IFERROR(VLOOKUP($C189,Merchants!$A$2:$D$41,3,FALSE),"Merchant not found")</f>
        <v>travel</v>
      </c>
      <c r="K189" s="12" t="str">
        <f>IFERROR(VLOOKUP($C189,Merchants!$A$2:$D$41,4,FALSE),"Merchant not found")</f>
        <v>South</v>
      </c>
      <c r="L189" s="13" t="str">
        <f t="shared" si="2"/>
        <v>Standard</v>
      </c>
    </row>
    <row r="190" spans="1:12" x14ac:dyDescent="0.3">
      <c r="A190" s="3" t="s">
        <v>449</v>
      </c>
      <c r="B190" s="2">
        <v>32</v>
      </c>
      <c r="C190" s="2">
        <v>31</v>
      </c>
      <c r="D190" s="2" t="s">
        <v>450</v>
      </c>
      <c r="E190" s="2">
        <v>299</v>
      </c>
      <c r="F190" s="3" t="s">
        <v>73</v>
      </c>
      <c r="G190" s="3" t="s">
        <v>70</v>
      </c>
      <c r="H190" s="2">
        <v>51</v>
      </c>
      <c r="I190" s="10" t="str">
        <f>IFERROR(VLOOKUP($C190,Merchants!$A$2:$D$41,2,FALSE),"Merchant not found")</f>
        <v>Merchant_031</v>
      </c>
      <c r="J190" s="10" t="str">
        <f>IFERROR(VLOOKUP($C190,Merchants!$A$2:$D$41,3,FALSE),"Merchant not found")</f>
        <v>bill_payment</v>
      </c>
      <c r="K190" s="10" t="str">
        <f>IFERROR(VLOOKUP($C190,Merchants!$A$2:$D$41,4,FALSE),"Merchant not found")</f>
        <v>East</v>
      </c>
      <c r="L190" s="11" t="str">
        <f t="shared" si="2"/>
        <v>Standard</v>
      </c>
    </row>
    <row r="191" spans="1:12" x14ac:dyDescent="0.3">
      <c r="A191" s="5" t="s">
        <v>451</v>
      </c>
      <c r="B191" s="4">
        <v>252</v>
      </c>
      <c r="C191" s="4">
        <v>29</v>
      </c>
      <c r="D191" s="4" t="s">
        <v>452</v>
      </c>
      <c r="E191" s="4">
        <v>1499</v>
      </c>
      <c r="F191" s="5" t="s">
        <v>73</v>
      </c>
      <c r="G191" s="5" t="s">
        <v>70</v>
      </c>
      <c r="H191" s="4">
        <v>9</v>
      </c>
      <c r="I191" s="12" t="str">
        <f>IFERROR(VLOOKUP($C191,Merchants!$A$2:$D$41,2,FALSE),"Merchant not found")</f>
        <v>Merchant_029</v>
      </c>
      <c r="J191" s="12" t="str">
        <f>IFERROR(VLOOKUP($C191,Merchants!$A$2:$D$41,3,FALSE),"Merchant not found")</f>
        <v>ecommerce</v>
      </c>
      <c r="K191" s="12" t="str">
        <f>IFERROR(VLOOKUP($C191,Merchants!$A$2:$D$41,4,FALSE),"Merchant not found")</f>
        <v>North</v>
      </c>
      <c r="L191" s="13" t="str">
        <f t="shared" si="2"/>
        <v>Standard</v>
      </c>
    </row>
    <row r="192" spans="1:12" x14ac:dyDescent="0.3">
      <c r="A192" s="3" t="s">
        <v>453</v>
      </c>
      <c r="B192" s="2">
        <v>312</v>
      </c>
      <c r="C192" s="2">
        <v>10</v>
      </c>
      <c r="D192" s="2" t="s">
        <v>454</v>
      </c>
      <c r="E192" s="2">
        <v>799</v>
      </c>
      <c r="F192" s="3" t="s">
        <v>73</v>
      </c>
      <c r="G192" s="3" t="s">
        <v>70</v>
      </c>
      <c r="H192" s="2">
        <v>8</v>
      </c>
      <c r="I192" s="10" t="str">
        <f>IFERROR(VLOOKUP($C192,Merchants!$A$2:$D$41,2,FALSE),"Merchant not found")</f>
        <v>Merchant_010</v>
      </c>
      <c r="J192" s="10" t="str">
        <f>IFERROR(VLOOKUP($C192,Merchants!$A$2:$D$41,3,FALSE),"Merchant not found")</f>
        <v>grocery</v>
      </c>
      <c r="K192" s="10" t="str">
        <f>IFERROR(VLOOKUP($C192,Merchants!$A$2:$D$41,4,FALSE),"Merchant not found")</f>
        <v>West</v>
      </c>
      <c r="L192" s="11" t="str">
        <f t="shared" si="2"/>
        <v>Standard</v>
      </c>
    </row>
    <row r="193" spans="1:12" x14ac:dyDescent="0.3">
      <c r="A193" s="5" t="s">
        <v>455</v>
      </c>
      <c r="B193" s="4">
        <v>325</v>
      </c>
      <c r="C193" s="4">
        <v>38</v>
      </c>
      <c r="D193" s="4" t="s">
        <v>456</v>
      </c>
      <c r="E193" s="4">
        <v>1499</v>
      </c>
      <c r="F193" s="5" t="s">
        <v>78</v>
      </c>
      <c r="G193" s="5" t="s">
        <v>70</v>
      </c>
      <c r="H193" s="4">
        <v>70</v>
      </c>
      <c r="I193" s="12" t="str">
        <f>IFERROR(VLOOKUP($C193,Merchants!$A$2:$D$41,2,FALSE),"Merchant not found")</f>
        <v>Merchant_038</v>
      </c>
      <c r="J193" s="12" t="str">
        <f>IFERROR(VLOOKUP($C193,Merchants!$A$2:$D$41,3,FALSE),"Merchant not found")</f>
        <v>grocery</v>
      </c>
      <c r="K193" s="12" t="str">
        <f>IFERROR(VLOOKUP($C193,Merchants!$A$2:$D$41,4,FALSE),"Merchant not found")</f>
        <v>East</v>
      </c>
      <c r="L193" s="13" t="str">
        <f t="shared" si="2"/>
        <v>Standard</v>
      </c>
    </row>
    <row r="194" spans="1:12" x14ac:dyDescent="0.3">
      <c r="A194" s="3" t="s">
        <v>457</v>
      </c>
      <c r="B194" s="2">
        <v>306</v>
      </c>
      <c r="C194" s="2">
        <v>34</v>
      </c>
      <c r="D194" s="2" t="s">
        <v>458</v>
      </c>
      <c r="E194" s="2">
        <v>2999</v>
      </c>
      <c r="F194" s="3" t="s">
        <v>73</v>
      </c>
      <c r="G194" s="3" t="s">
        <v>70</v>
      </c>
      <c r="H194" s="2">
        <v>37</v>
      </c>
      <c r="I194" s="10" t="str">
        <f>IFERROR(VLOOKUP($C194,Merchants!$A$2:$D$41,2,FALSE),"Merchant not found")</f>
        <v>Merchant_034</v>
      </c>
      <c r="J194" s="10" t="str">
        <f>IFERROR(VLOOKUP($C194,Merchants!$A$2:$D$41,3,FALSE),"Merchant not found")</f>
        <v>travel</v>
      </c>
      <c r="K194" s="10" t="str">
        <f>IFERROR(VLOOKUP($C194,Merchants!$A$2:$D$41,4,FALSE),"Merchant not found")</f>
        <v>South</v>
      </c>
      <c r="L194" s="11" t="str">
        <f t="shared" ref="L194:L257" si="3">IF(AND(SUMPRODUCT(($C$2:$C$548=$C194)*(LEFT($D$2:$D$548,10)=LEFT($D194,10))*$E$2:$E$548)&gt;5000,$K194&lt;&gt;"East"),"High-Value Merchant Day","Standard")</f>
        <v>Standard</v>
      </c>
    </row>
    <row r="195" spans="1:12" x14ac:dyDescent="0.3">
      <c r="A195" s="5" t="s">
        <v>459</v>
      </c>
      <c r="B195" s="4">
        <v>221</v>
      </c>
      <c r="C195" s="4">
        <v>7</v>
      </c>
      <c r="D195" s="4" t="s">
        <v>460</v>
      </c>
      <c r="E195" s="4">
        <v>149</v>
      </c>
      <c r="F195" s="5" t="s">
        <v>78</v>
      </c>
      <c r="G195" s="5" t="s">
        <v>70</v>
      </c>
      <c r="H195" s="4">
        <v>89</v>
      </c>
      <c r="I195" s="12" t="str">
        <f>IFERROR(VLOOKUP($C195,Merchants!$A$2:$D$41,2,FALSE),"Merchant not found")</f>
        <v>Merchant_007</v>
      </c>
      <c r="J195" s="12" t="str">
        <f>IFERROR(VLOOKUP($C195,Merchants!$A$2:$D$41,3,FALSE),"Merchant not found")</f>
        <v>food_delivery</v>
      </c>
      <c r="K195" s="12" t="str">
        <f>IFERROR(VLOOKUP($C195,Merchants!$A$2:$D$41,4,FALSE),"Merchant not found")</f>
        <v>East</v>
      </c>
      <c r="L195" s="13" t="str">
        <f t="shared" si="3"/>
        <v>Standard</v>
      </c>
    </row>
    <row r="196" spans="1:12" x14ac:dyDescent="0.3">
      <c r="A196" s="3" t="s">
        <v>461</v>
      </c>
      <c r="B196" s="2">
        <v>283</v>
      </c>
      <c r="C196" s="2">
        <v>14</v>
      </c>
      <c r="D196" s="2" t="s">
        <v>387</v>
      </c>
      <c r="E196" s="2">
        <v>99</v>
      </c>
      <c r="F196" s="3" t="s">
        <v>69</v>
      </c>
      <c r="G196" s="3" t="s">
        <v>70</v>
      </c>
      <c r="H196" s="2">
        <v>55</v>
      </c>
      <c r="I196" s="10" t="str">
        <f>IFERROR(VLOOKUP($C196,Merchants!$A$2:$D$41,2,FALSE),"Merchant not found")</f>
        <v>Merchant_014</v>
      </c>
      <c r="J196" s="10" t="str">
        <f>IFERROR(VLOOKUP($C196,Merchants!$A$2:$D$41,3,FALSE),"Merchant not found")</f>
        <v>grocery</v>
      </c>
      <c r="K196" s="10" t="str">
        <f>IFERROR(VLOOKUP($C196,Merchants!$A$2:$D$41,4,FALSE),"Merchant not found")</f>
        <v>East</v>
      </c>
      <c r="L196" s="11" t="str">
        <f t="shared" si="3"/>
        <v>Standard</v>
      </c>
    </row>
    <row r="197" spans="1:12" x14ac:dyDescent="0.3">
      <c r="A197" s="5" t="s">
        <v>462</v>
      </c>
      <c r="B197" s="4">
        <v>174</v>
      </c>
      <c r="C197" s="4">
        <v>30</v>
      </c>
      <c r="D197" s="4" t="s">
        <v>463</v>
      </c>
      <c r="E197" s="4">
        <v>49</v>
      </c>
      <c r="F197" s="5" t="s">
        <v>73</v>
      </c>
      <c r="G197" s="5" t="s">
        <v>70</v>
      </c>
      <c r="H197" s="4">
        <v>51</v>
      </c>
      <c r="I197" s="12" t="str">
        <f>IFERROR(VLOOKUP($C197,Merchants!$A$2:$D$41,2,FALSE),"Merchant not found")</f>
        <v>Merchant_030</v>
      </c>
      <c r="J197" s="12" t="str">
        <f>IFERROR(VLOOKUP($C197,Merchants!$A$2:$D$41,3,FALSE),"Merchant not found")</f>
        <v>travel</v>
      </c>
      <c r="K197" s="12" t="str">
        <f>IFERROR(VLOOKUP($C197,Merchants!$A$2:$D$41,4,FALSE),"Merchant not found")</f>
        <v>West</v>
      </c>
      <c r="L197" s="13" t="str">
        <f t="shared" si="3"/>
        <v>Standard</v>
      </c>
    </row>
    <row r="198" spans="1:12" x14ac:dyDescent="0.3">
      <c r="A198" s="3" t="s">
        <v>464</v>
      </c>
      <c r="B198" s="2">
        <v>161</v>
      </c>
      <c r="C198" s="2">
        <v>28</v>
      </c>
      <c r="D198" s="2" t="s">
        <v>465</v>
      </c>
      <c r="E198" s="2">
        <v>49</v>
      </c>
      <c r="F198" s="3" t="s">
        <v>73</v>
      </c>
      <c r="G198" s="3" t="s">
        <v>70</v>
      </c>
      <c r="H198" s="2">
        <v>40</v>
      </c>
      <c r="I198" s="10" t="str">
        <f>IFERROR(VLOOKUP($C198,Merchants!$A$2:$D$41,2,FALSE),"Merchant not found")</f>
        <v>Merchant_028</v>
      </c>
      <c r="J198" s="10" t="str">
        <f>IFERROR(VLOOKUP($C198,Merchants!$A$2:$D$41,3,FALSE),"Merchant not found")</f>
        <v>ecommerce</v>
      </c>
      <c r="K198" s="10" t="str">
        <f>IFERROR(VLOOKUP($C198,Merchants!$A$2:$D$41,4,FALSE),"Merchant not found")</f>
        <v>South</v>
      </c>
      <c r="L198" s="11" t="str">
        <f t="shared" si="3"/>
        <v>Standard</v>
      </c>
    </row>
    <row r="199" spans="1:12" x14ac:dyDescent="0.3">
      <c r="A199" s="5" t="s">
        <v>466</v>
      </c>
      <c r="B199" s="4">
        <v>79</v>
      </c>
      <c r="C199" s="4">
        <v>31</v>
      </c>
      <c r="D199" s="4" t="s">
        <v>467</v>
      </c>
      <c r="E199" s="4">
        <v>99</v>
      </c>
      <c r="F199" s="5" t="s">
        <v>73</v>
      </c>
      <c r="G199" s="5" t="s">
        <v>70</v>
      </c>
      <c r="H199" s="4">
        <v>8</v>
      </c>
      <c r="I199" s="12" t="str">
        <f>IFERROR(VLOOKUP($C199,Merchants!$A$2:$D$41,2,FALSE),"Merchant not found")</f>
        <v>Merchant_031</v>
      </c>
      <c r="J199" s="12" t="str">
        <f>IFERROR(VLOOKUP($C199,Merchants!$A$2:$D$41,3,FALSE),"Merchant not found")</f>
        <v>bill_payment</v>
      </c>
      <c r="K199" s="12" t="str">
        <f>IFERROR(VLOOKUP($C199,Merchants!$A$2:$D$41,4,FALSE),"Merchant not found")</f>
        <v>East</v>
      </c>
      <c r="L199" s="13" t="str">
        <f t="shared" si="3"/>
        <v>Standard</v>
      </c>
    </row>
    <row r="200" spans="1:12" x14ac:dyDescent="0.3">
      <c r="A200" s="3" t="s">
        <v>468</v>
      </c>
      <c r="B200" s="2">
        <v>222</v>
      </c>
      <c r="C200" s="2">
        <v>7</v>
      </c>
      <c r="D200" s="2" t="s">
        <v>469</v>
      </c>
      <c r="E200" s="2">
        <v>149</v>
      </c>
      <c r="F200" s="3" t="s">
        <v>69</v>
      </c>
      <c r="G200" s="3" t="s">
        <v>70</v>
      </c>
      <c r="H200" s="2">
        <v>95</v>
      </c>
      <c r="I200" s="10" t="str">
        <f>IFERROR(VLOOKUP($C200,Merchants!$A$2:$D$41,2,FALSE),"Merchant not found")</f>
        <v>Merchant_007</v>
      </c>
      <c r="J200" s="10" t="str">
        <f>IFERROR(VLOOKUP($C200,Merchants!$A$2:$D$41,3,FALSE),"Merchant not found")</f>
        <v>food_delivery</v>
      </c>
      <c r="K200" s="10" t="str">
        <f>IFERROR(VLOOKUP($C200,Merchants!$A$2:$D$41,4,FALSE),"Merchant not found")</f>
        <v>East</v>
      </c>
      <c r="L200" s="11" t="str">
        <f t="shared" si="3"/>
        <v>Standard</v>
      </c>
    </row>
    <row r="201" spans="1:12" x14ac:dyDescent="0.3">
      <c r="A201" s="5" t="s">
        <v>470</v>
      </c>
      <c r="B201" s="4">
        <v>67</v>
      </c>
      <c r="C201" s="4">
        <v>36</v>
      </c>
      <c r="D201" s="4" t="s">
        <v>471</v>
      </c>
      <c r="E201" s="4">
        <v>99</v>
      </c>
      <c r="F201" s="5" t="s">
        <v>73</v>
      </c>
      <c r="G201" s="5" t="s">
        <v>70</v>
      </c>
      <c r="H201" s="4">
        <v>7</v>
      </c>
      <c r="I201" s="12" t="str">
        <f>IFERROR(VLOOKUP($C201,Merchants!$A$2:$D$41,2,FALSE),"Merchant not found")</f>
        <v>Merchant_036</v>
      </c>
      <c r="J201" s="12" t="str">
        <f>IFERROR(VLOOKUP($C201,Merchants!$A$2:$D$41,3,FALSE),"Merchant not found")</f>
        <v>entertainment</v>
      </c>
      <c r="K201" s="12" t="str">
        <f>IFERROR(VLOOKUP($C201,Merchants!$A$2:$D$41,4,FALSE),"Merchant not found")</f>
        <v>East</v>
      </c>
      <c r="L201" s="13" t="str">
        <f t="shared" si="3"/>
        <v>Standard</v>
      </c>
    </row>
    <row r="202" spans="1:12" x14ac:dyDescent="0.3">
      <c r="A202" s="3" t="s">
        <v>472</v>
      </c>
      <c r="B202" s="2">
        <v>169</v>
      </c>
      <c r="C202" s="2">
        <v>8</v>
      </c>
      <c r="D202" s="2" t="s">
        <v>473</v>
      </c>
      <c r="E202" s="2">
        <v>99</v>
      </c>
      <c r="F202" s="3" t="s">
        <v>73</v>
      </c>
      <c r="G202" s="3" t="s">
        <v>70</v>
      </c>
      <c r="H202" s="2">
        <v>52</v>
      </c>
      <c r="I202" s="10" t="str">
        <f>IFERROR(VLOOKUP($C202,Merchants!$A$2:$D$41,2,FALSE),"Merchant not found")</f>
        <v>Merchant_008</v>
      </c>
      <c r="J202" s="10" t="str">
        <f>IFERROR(VLOOKUP($C202,Merchants!$A$2:$D$41,3,FALSE),"Merchant not found")</f>
        <v>food_delivery</v>
      </c>
      <c r="K202" s="10" t="str">
        <f>IFERROR(VLOOKUP($C202,Merchants!$A$2:$D$41,4,FALSE),"Merchant not found")</f>
        <v>North</v>
      </c>
      <c r="L202" s="11" t="str">
        <f t="shared" si="3"/>
        <v>Standard</v>
      </c>
    </row>
    <row r="203" spans="1:12" x14ac:dyDescent="0.3">
      <c r="A203" s="5" t="s">
        <v>474</v>
      </c>
      <c r="B203" s="4">
        <v>217</v>
      </c>
      <c r="C203" s="4">
        <v>4</v>
      </c>
      <c r="D203" s="4" t="s">
        <v>475</v>
      </c>
      <c r="E203" s="4">
        <v>49</v>
      </c>
      <c r="F203" s="5" t="s">
        <v>73</v>
      </c>
      <c r="G203" s="5" t="s">
        <v>70</v>
      </c>
      <c r="H203" s="4">
        <v>36</v>
      </c>
      <c r="I203" s="12" t="str">
        <f>IFERROR(VLOOKUP($C203,Merchants!$A$2:$D$41,2,FALSE),"Merchant not found")</f>
        <v>Merchant_004</v>
      </c>
      <c r="J203" s="12" t="str">
        <f>IFERROR(VLOOKUP($C203,Merchants!$A$2:$D$41,3,FALSE),"Merchant not found")</f>
        <v>ecommerce</v>
      </c>
      <c r="K203" s="12" t="str">
        <f>IFERROR(VLOOKUP($C203,Merchants!$A$2:$D$41,4,FALSE),"Merchant not found")</f>
        <v>East</v>
      </c>
      <c r="L203" s="13" t="str">
        <f t="shared" si="3"/>
        <v>Standard</v>
      </c>
    </row>
    <row r="204" spans="1:12" x14ac:dyDescent="0.3">
      <c r="A204" s="3" t="s">
        <v>476</v>
      </c>
      <c r="B204" s="2">
        <v>54</v>
      </c>
      <c r="C204" s="2">
        <v>37</v>
      </c>
      <c r="D204" s="2" t="s">
        <v>477</v>
      </c>
      <c r="E204" s="2">
        <v>149</v>
      </c>
      <c r="F204" s="3" t="s">
        <v>73</v>
      </c>
      <c r="G204" s="3" t="s">
        <v>70</v>
      </c>
      <c r="H204" s="2">
        <v>64</v>
      </c>
      <c r="I204" s="10" t="str">
        <f>IFERROR(VLOOKUP($C204,Merchants!$A$2:$D$41,2,FALSE),"Merchant not found")</f>
        <v>Merchant_037</v>
      </c>
      <c r="J204" s="10" t="str">
        <f>IFERROR(VLOOKUP($C204,Merchants!$A$2:$D$41,3,FALSE),"Merchant not found")</f>
        <v>entertainment</v>
      </c>
      <c r="K204" s="10" t="str">
        <f>IFERROR(VLOOKUP($C204,Merchants!$A$2:$D$41,4,FALSE),"Merchant not found")</f>
        <v>South</v>
      </c>
      <c r="L204" s="11" t="str">
        <f t="shared" si="3"/>
        <v>Standard</v>
      </c>
    </row>
    <row r="205" spans="1:12" x14ac:dyDescent="0.3">
      <c r="A205" s="5" t="s">
        <v>478</v>
      </c>
      <c r="B205" s="4">
        <v>247</v>
      </c>
      <c r="C205" s="4">
        <v>15</v>
      </c>
      <c r="D205" s="4" t="s">
        <v>479</v>
      </c>
      <c r="E205" s="4">
        <v>49</v>
      </c>
      <c r="F205" s="5" t="s">
        <v>95</v>
      </c>
      <c r="G205" s="5" t="s">
        <v>70</v>
      </c>
      <c r="H205" s="4">
        <v>13</v>
      </c>
      <c r="I205" s="12" t="str">
        <f>IFERROR(VLOOKUP($C205,Merchants!$A$2:$D$41,2,FALSE),"Merchant not found")</f>
        <v>Merchant_015</v>
      </c>
      <c r="J205" s="12" t="str">
        <f>IFERROR(VLOOKUP($C205,Merchants!$A$2:$D$41,3,FALSE),"Merchant not found")</f>
        <v>travel</v>
      </c>
      <c r="K205" s="12" t="str">
        <f>IFERROR(VLOOKUP($C205,Merchants!$A$2:$D$41,4,FALSE),"Merchant not found")</f>
        <v>North</v>
      </c>
      <c r="L205" s="13" t="str">
        <f t="shared" si="3"/>
        <v>Standard</v>
      </c>
    </row>
    <row r="206" spans="1:12" x14ac:dyDescent="0.3">
      <c r="A206" s="3" t="s">
        <v>480</v>
      </c>
      <c r="B206" s="2">
        <v>59</v>
      </c>
      <c r="C206" s="2">
        <v>18</v>
      </c>
      <c r="D206" s="2" t="s">
        <v>481</v>
      </c>
      <c r="E206" s="2">
        <v>49</v>
      </c>
      <c r="F206" s="3" t="s">
        <v>95</v>
      </c>
      <c r="G206" s="3" t="s">
        <v>70</v>
      </c>
      <c r="H206" s="2">
        <v>73</v>
      </c>
      <c r="I206" s="10" t="str">
        <f>IFERROR(VLOOKUP($C206,Merchants!$A$2:$D$41,2,FALSE),"Merchant not found")</f>
        <v>Merchant_018</v>
      </c>
      <c r="J206" s="10" t="str">
        <f>IFERROR(VLOOKUP($C206,Merchants!$A$2:$D$41,3,FALSE),"Merchant not found")</f>
        <v>grocery</v>
      </c>
      <c r="K206" s="10" t="str">
        <f>IFERROR(VLOOKUP($C206,Merchants!$A$2:$D$41,4,FALSE),"Merchant not found")</f>
        <v>West</v>
      </c>
      <c r="L206" s="11" t="str">
        <f t="shared" si="3"/>
        <v>Standard</v>
      </c>
    </row>
    <row r="207" spans="1:12" x14ac:dyDescent="0.3">
      <c r="A207" s="5" t="s">
        <v>482</v>
      </c>
      <c r="B207" s="4">
        <v>288</v>
      </c>
      <c r="C207" s="4">
        <v>40</v>
      </c>
      <c r="D207" s="4" t="s">
        <v>483</v>
      </c>
      <c r="E207" s="4">
        <v>49</v>
      </c>
      <c r="F207" s="5" t="s">
        <v>73</v>
      </c>
      <c r="G207" s="5" t="s">
        <v>96</v>
      </c>
      <c r="H207" s="4">
        <v>78</v>
      </c>
      <c r="I207" s="12" t="str">
        <f>IFERROR(VLOOKUP($C207,Merchants!$A$2:$D$41,2,FALSE),"Merchant not found")</f>
        <v>Merchant_040</v>
      </c>
      <c r="J207" s="12" t="str">
        <f>IFERROR(VLOOKUP($C207,Merchants!$A$2:$D$41,3,FALSE),"Merchant not found")</f>
        <v>entertainment</v>
      </c>
      <c r="K207" s="12" t="str">
        <f>IFERROR(VLOOKUP($C207,Merchants!$A$2:$D$41,4,FALSE),"Merchant not found")</f>
        <v>South</v>
      </c>
      <c r="L207" s="13" t="str">
        <f t="shared" si="3"/>
        <v>Standard</v>
      </c>
    </row>
    <row r="208" spans="1:12" x14ac:dyDescent="0.3">
      <c r="A208" s="3" t="s">
        <v>484</v>
      </c>
      <c r="B208" s="2">
        <v>14</v>
      </c>
      <c r="C208" s="2">
        <v>39</v>
      </c>
      <c r="D208" s="2" t="s">
        <v>485</v>
      </c>
      <c r="E208" s="2">
        <v>799</v>
      </c>
      <c r="F208" s="3" t="s">
        <v>73</v>
      </c>
      <c r="G208" s="3" t="s">
        <v>70</v>
      </c>
      <c r="H208" s="2">
        <v>84</v>
      </c>
      <c r="I208" s="10" t="str">
        <f>IFERROR(VLOOKUP($C208,Merchants!$A$2:$D$41,2,FALSE),"Merchant not found")</f>
        <v>Merchant_039</v>
      </c>
      <c r="J208" s="10" t="str">
        <f>IFERROR(VLOOKUP($C208,Merchants!$A$2:$D$41,3,FALSE),"Merchant not found")</f>
        <v>entertainment</v>
      </c>
      <c r="K208" s="10" t="str">
        <f>IFERROR(VLOOKUP($C208,Merchants!$A$2:$D$41,4,FALSE),"Merchant not found")</f>
        <v>North</v>
      </c>
      <c r="L208" s="11" t="str">
        <f t="shared" si="3"/>
        <v>High-Value Merchant Day</v>
      </c>
    </row>
    <row r="209" spans="1:12" x14ac:dyDescent="0.3">
      <c r="A209" s="5" t="s">
        <v>486</v>
      </c>
      <c r="B209" s="4">
        <v>15</v>
      </c>
      <c r="C209" s="4">
        <v>12</v>
      </c>
      <c r="D209" s="4" t="s">
        <v>487</v>
      </c>
      <c r="E209" s="4">
        <v>149</v>
      </c>
      <c r="F209" s="5" t="s">
        <v>73</v>
      </c>
      <c r="G209" s="5" t="s">
        <v>70</v>
      </c>
      <c r="H209" s="4">
        <v>34</v>
      </c>
      <c r="I209" s="12" t="str">
        <f>IFERROR(VLOOKUP($C209,Merchants!$A$2:$D$41,2,FALSE),"Merchant not found")</f>
        <v>Merchant_012</v>
      </c>
      <c r="J209" s="12" t="str">
        <f>IFERROR(VLOOKUP($C209,Merchants!$A$2:$D$41,3,FALSE),"Merchant not found")</f>
        <v>ecommerce</v>
      </c>
      <c r="K209" s="12" t="str">
        <f>IFERROR(VLOOKUP($C209,Merchants!$A$2:$D$41,4,FALSE),"Merchant not found")</f>
        <v>East</v>
      </c>
      <c r="L209" s="13" t="str">
        <f t="shared" si="3"/>
        <v>Standard</v>
      </c>
    </row>
    <row r="210" spans="1:12" x14ac:dyDescent="0.3">
      <c r="A210" s="3" t="s">
        <v>488</v>
      </c>
      <c r="B210" s="2">
        <v>174</v>
      </c>
      <c r="C210" s="2">
        <v>23</v>
      </c>
      <c r="D210" s="2" t="s">
        <v>489</v>
      </c>
      <c r="E210" s="2">
        <v>149</v>
      </c>
      <c r="F210" s="3" t="s">
        <v>73</v>
      </c>
      <c r="G210" s="3" t="s">
        <v>70</v>
      </c>
      <c r="H210" s="2">
        <v>0</v>
      </c>
      <c r="I210" s="10" t="str">
        <f>IFERROR(VLOOKUP($C210,Merchants!$A$2:$D$41,2,FALSE),"Merchant not found")</f>
        <v>Merchant_023</v>
      </c>
      <c r="J210" s="10" t="str">
        <f>IFERROR(VLOOKUP($C210,Merchants!$A$2:$D$41,3,FALSE),"Merchant not found")</f>
        <v>travel</v>
      </c>
      <c r="K210" s="10" t="str">
        <f>IFERROR(VLOOKUP($C210,Merchants!$A$2:$D$41,4,FALSE),"Merchant not found")</f>
        <v>North</v>
      </c>
      <c r="L210" s="11" t="str">
        <f t="shared" si="3"/>
        <v>Standard</v>
      </c>
    </row>
    <row r="211" spans="1:12" x14ac:dyDescent="0.3">
      <c r="A211" s="5" t="s">
        <v>490</v>
      </c>
      <c r="B211" s="4">
        <v>337</v>
      </c>
      <c r="C211" s="4">
        <v>26</v>
      </c>
      <c r="D211" s="4" t="s">
        <v>491</v>
      </c>
      <c r="E211" s="4">
        <v>49</v>
      </c>
      <c r="F211" s="5" t="s">
        <v>73</v>
      </c>
      <c r="G211" s="5" t="s">
        <v>70</v>
      </c>
      <c r="H211" s="4">
        <v>8</v>
      </c>
      <c r="I211" s="12" t="str">
        <f>IFERROR(VLOOKUP($C211,Merchants!$A$2:$D$41,2,FALSE),"Merchant not found")</f>
        <v>Merchant_026</v>
      </c>
      <c r="J211" s="12" t="str">
        <f>IFERROR(VLOOKUP($C211,Merchants!$A$2:$D$41,3,FALSE),"Merchant not found")</f>
        <v>food_delivery</v>
      </c>
      <c r="K211" s="12" t="str">
        <f>IFERROR(VLOOKUP($C211,Merchants!$A$2:$D$41,4,FALSE),"Merchant not found")</f>
        <v>East</v>
      </c>
      <c r="L211" s="13" t="str">
        <f t="shared" si="3"/>
        <v>Standard</v>
      </c>
    </row>
    <row r="212" spans="1:12" x14ac:dyDescent="0.3">
      <c r="A212" s="3" t="s">
        <v>492</v>
      </c>
      <c r="B212" s="2">
        <v>16</v>
      </c>
      <c r="C212" s="2">
        <v>6</v>
      </c>
      <c r="D212" s="2" t="s">
        <v>493</v>
      </c>
      <c r="E212" s="2">
        <v>1499</v>
      </c>
      <c r="F212" s="3" t="s">
        <v>73</v>
      </c>
      <c r="G212" s="3" t="s">
        <v>70</v>
      </c>
      <c r="H212" s="2">
        <v>95</v>
      </c>
      <c r="I212" s="10" t="str">
        <f>IFERROR(VLOOKUP($C212,Merchants!$A$2:$D$41,2,FALSE),"Merchant not found")</f>
        <v>Merchant_006</v>
      </c>
      <c r="J212" s="10" t="str">
        <f>IFERROR(VLOOKUP($C212,Merchants!$A$2:$D$41,3,FALSE),"Merchant not found")</f>
        <v>food_delivery</v>
      </c>
      <c r="K212" s="10" t="str">
        <f>IFERROR(VLOOKUP($C212,Merchants!$A$2:$D$41,4,FALSE),"Merchant not found")</f>
        <v>South</v>
      </c>
      <c r="L212" s="11" t="str">
        <f t="shared" si="3"/>
        <v>Standard</v>
      </c>
    </row>
    <row r="213" spans="1:12" x14ac:dyDescent="0.3">
      <c r="A213" s="5" t="s">
        <v>494</v>
      </c>
      <c r="B213" s="4">
        <v>215</v>
      </c>
      <c r="C213" s="4">
        <v>30</v>
      </c>
      <c r="D213" s="4" t="s">
        <v>495</v>
      </c>
      <c r="E213" s="4">
        <v>49</v>
      </c>
      <c r="F213" s="5" t="s">
        <v>73</v>
      </c>
      <c r="G213" s="5" t="s">
        <v>70</v>
      </c>
      <c r="H213" s="4">
        <v>43</v>
      </c>
      <c r="I213" s="12" t="str">
        <f>IFERROR(VLOOKUP($C213,Merchants!$A$2:$D$41,2,FALSE),"Merchant not found")</f>
        <v>Merchant_030</v>
      </c>
      <c r="J213" s="12" t="str">
        <f>IFERROR(VLOOKUP($C213,Merchants!$A$2:$D$41,3,FALSE),"Merchant not found")</f>
        <v>travel</v>
      </c>
      <c r="K213" s="12" t="str">
        <f>IFERROR(VLOOKUP($C213,Merchants!$A$2:$D$41,4,FALSE),"Merchant not found")</f>
        <v>West</v>
      </c>
      <c r="L213" s="13" t="str">
        <f t="shared" si="3"/>
        <v>Standard</v>
      </c>
    </row>
    <row r="214" spans="1:12" x14ac:dyDescent="0.3">
      <c r="A214" s="3" t="s">
        <v>496</v>
      </c>
      <c r="B214" s="2">
        <v>167</v>
      </c>
      <c r="C214" s="2">
        <v>37</v>
      </c>
      <c r="D214" s="2" t="s">
        <v>497</v>
      </c>
      <c r="E214" s="2">
        <v>99</v>
      </c>
      <c r="F214" s="3" t="s">
        <v>73</v>
      </c>
      <c r="G214" s="3" t="s">
        <v>70</v>
      </c>
      <c r="H214" s="2">
        <v>76</v>
      </c>
      <c r="I214" s="10" t="str">
        <f>IFERROR(VLOOKUP($C214,Merchants!$A$2:$D$41,2,FALSE),"Merchant not found")</f>
        <v>Merchant_037</v>
      </c>
      <c r="J214" s="10" t="str">
        <f>IFERROR(VLOOKUP($C214,Merchants!$A$2:$D$41,3,FALSE),"Merchant not found")</f>
        <v>entertainment</v>
      </c>
      <c r="K214" s="10" t="str">
        <f>IFERROR(VLOOKUP($C214,Merchants!$A$2:$D$41,4,FALSE),"Merchant not found")</f>
        <v>South</v>
      </c>
      <c r="L214" s="11" t="str">
        <f t="shared" si="3"/>
        <v>Standard</v>
      </c>
    </row>
    <row r="215" spans="1:12" x14ac:dyDescent="0.3">
      <c r="A215" s="5" t="s">
        <v>498</v>
      </c>
      <c r="B215" s="4">
        <v>81</v>
      </c>
      <c r="C215" s="4">
        <v>40</v>
      </c>
      <c r="D215" s="4" t="s">
        <v>499</v>
      </c>
      <c r="E215" s="4">
        <v>49</v>
      </c>
      <c r="F215" s="5" t="s">
        <v>73</v>
      </c>
      <c r="G215" s="5" t="s">
        <v>70</v>
      </c>
      <c r="H215" s="4">
        <v>6</v>
      </c>
      <c r="I215" s="12" t="str">
        <f>IFERROR(VLOOKUP($C215,Merchants!$A$2:$D$41,2,FALSE),"Merchant not found")</f>
        <v>Merchant_040</v>
      </c>
      <c r="J215" s="12" t="str">
        <f>IFERROR(VLOOKUP($C215,Merchants!$A$2:$D$41,3,FALSE),"Merchant not found")</f>
        <v>entertainment</v>
      </c>
      <c r="K215" s="12" t="str">
        <f>IFERROR(VLOOKUP($C215,Merchants!$A$2:$D$41,4,FALSE),"Merchant not found")</f>
        <v>South</v>
      </c>
      <c r="L215" s="13" t="str">
        <f t="shared" si="3"/>
        <v>Standard</v>
      </c>
    </row>
    <row r="216" spans="1:12" x14ac:dyDescent="0.3">
      <c r="A216" s="3" t="s">
        <v>500</v>
      </c>
      <c r="B216" s="2">
        <v>227</v>
      </c>
      <c r="C216" s="2">
        <v>28</v>
      </c>
      <c r="D216" s="2" t="s">
        <v>501</v>
      </c>
      <c r="E216" s="2">
        <v>99</v>
      </c>
      <c r="F216" s="3" t="s">
        <v>73</v>
      </c>
      <c r="G216" s="3" t="s">
        <v>70</v>
      </c>
      <c r="H216" s="2">
        <v>62</v>
      </c>
      <c r="I216" s="10" t="str">
        <f>IFERROR(VLOOKUP($C216,Merchants!$A$2:$D$41,2,FALSE),"Merchant not found")</f>
        <v>Merchant_028</v>
      </c>
      <c r="J216" s="10" t="str">
        <f>IFERROR(VLOOKUP($C216,Merchants!$A$2:$D$41,3,FALSE),"Merchant not found")</f>
        <v>ecommerce</v>
      </c>
      <c r="K216" s="10" t="str">
        <f>IFERROR(VLOOKUP($C216,Merchants!$A$2:$D$41,4,FALSE),"Merchant not found")</f>
        <v>South</v>
      </c>
      <c r="L216" s="11" t="str">
        <f t="shared" si="3"/>
        <v>Standard</v>
      </c>
    </row>
    <row r="217" spans="1:12" x14ac:dyDescent="0.3">
      <c r="A217" s="5" t="s">
        <v>502</v>
      </c>
      <c r="B217" s="4">
        <v>140</v>
      </c>
      <c r="C217" s="4">
        <v>14</v>
      </c>
      <c r="D217" s="4" t="s">
        <v>503</v>
      </c>
      <c r="E217" s="4">
        <v>299</v>
      </c>
      <c r="F217" s="5" t="s">
        <v>69</v>
      </c>
      <c r="G217" s="5" t="s">
        <v>70</v>
      </c>
      <c r="H217" s="4">
        <v>96</v>
      </c>
      <c r="I217" s="12" t="str">
        <f>IFERROR(VLOOKUP($C217,Merchants!$A$2:$D$41,2,FALSE),"Merchant not found")</f>
        <v>Merchant_014</v>
      </c>
      <c r="J217" s="12" t="str">
        <f>IFERROR(VLOOKUP($C217,Merchants!$A$2:$D$41,3,FALSE),"Merchant not found")</f>
        <v>grocery</v>
      </c>
      <c r="K217" s="12" t="str">
        <f>IFERROR(VLOOKUP($C217,Merchants!$A$2:$D$41,4,FALSE),"Merchant not found")</f>
        <v>East</v>
      </c>
      <c r="L217" s="13" t="str">
        <f t="shared" si="3"/>
        <v>Standard</v>
      </c>
    </row>
    <row r="218" spans="1:12" x14ac:dyDescent="0.3">
      <c r="A218" s="3" t="s">
        <v>504</v>
      </c>
      <c r="B218" s="2">
        <v>221</v>
      </c>
      <c r="C218" s="2">
        <v>8</v>
      </c>
      <c r="D218" s="2" t="s">
        <v>505</v>
      </c>
      <c r="E218" s="2">
        <v>299</v>
      </c>
      <c r="F218" s="3" t="s">
        <v>73</v>
      </c>
      <c r="G218" s="3" t="s">
        <v>70</v>
      </c>
      <c r="H218" s="2">
        <v>36</v>
      </c>
      <c r="I218" s="10" t="str">
        <f>IFERROR(VLOOKUP($C218,Merchants!$A$2:$D$41,2,FALSE),"Merchant not found")</f>
        <v>Merchant_008</v>
      </c>
      <c r="J218" s="10" t="str">
        <f>IFERROR(VLOOKUP($C218,Merchants!$A$2:$D$41,3,FALSE),"Merchant not found")</f>
        <v>food_delivery</v>
      </c>
      <c r="K218" s="10" t="str">
        <f>IFERROR(VLOOKUP($C218,Merchants!$A$2:$D$41,4,FALSE),"Merchant not found")</f>
        <v>North</v>
      </c>
      <c r="L218" s="11" t="str">
        <f t="shared" si="3"/>
        <v>Standard</v>
      </c>
    </row>
    <row r="219" spans="1:12" x14ac:dyDescent="0.3">
      <c r="A219" s="5" t="s">
        <v>506</v>
      </c>
      <c r="B219" s="4">
        <v>250</v>
      </c>
      <c r="C219" s="4">
        <v>34</v>
      </c>
      <c r="D219" s="4" t="s">
        <v>507</v>
      </c>
      <c r="E219" s="4">
        <v>299</v>
      </c>
      <c r="F219" s="5" t="s">
        <v>69</v>
      </c>
      <c r="G219" s="5" t="s">
        <v>70</v>
      </c>
      <c r="H219" s="4">
        <v>85</v>
      </c>
      <c r="I219" s="12" t="str">
        <f>IFERROR(VLOOKUP($C219,Merchants!$A$2:$D$41,2,FALSE),"Merchant not found")</f>
        <v>Merchant_034</v>
      </c>
      <c r="J219" s="12" t="str">
        <f>IFERROR(VLOOKUP($C219,Merchants!$A$2:$D$41,3,FALSE),"Merchant not found")</f>
        <v>travel</v>
      </c>
      <c r="K219" s="12" t="str">
        <f>IFERROR(VLOOKUP($C219,Merchants!$A$2:$D$41,4,FALSE),"Merchant not found")</f>
        <v>South</v>
      </c>
      <c r="L219" s="13" t="str">
        <f t="shared" si="3"/>
        <v>Standard</v>
      </c>
    </row>
    <row r="220" spans="1:12" x14ac:dyDescent="0.3">
      <c r="A220" s="3" t="s">
        <v>508</v>
      </c>
      <c r="B220" s="2">
        <v>203</v>
      </c>
      <c r="C220" s="2">
        <v>39</v>
      </c>
      <c r="D220" s="2" t="s">
        <v>509</v>
      </c>
      <c r="E220" s="2">
        <v>49</v>
      </c>
      <c r="F220" s="3" t="s">
        <v>73</v>
      </c>
      <c r="G220" s="3" t="s">
        <v>70</v>
      </c>
      <c r="H220" s="2">
        <v>7</v>
      </c>
      <c r="I220" s="10" t="str">
        <f>IFERROR(VLOOKUP($C220,Merchants!$A$2:$D$41,2,FALSE),"Merchant not found")</f>
        <v>Merchant_039</v>
      </c>
      <c r="J220" s="10" t="str">
        <f>IFERROR(VLOOKUP($C220,Merchants!$A$2:$D$41,3,FALSE),"Merchant not found")</f>
        <v>entertainment</v>
      </c>
      <c r="K220" s="10" t="str">
        <f>IFERROR(VLOOKUP($C220,Merchants!$A$2:$D$41,4,FALSE),"Merchant not found")</f>
        <v>North</v>
      </c>
      <c r="L220" s="11" t="str">
        <f t="shared" si="3"/>
        <v>Standard</v>
      </c>
    </row>
    <row r="221" spans="1:12" x14ac:dyDescent="0.3">
      <c r="A221" s="5" t="s">
        <v>510</v>
      </c>
      <c r="B221" s="4">
        <v>109</v>
      </c>
      <c r="C221" s="4">
        <v>9</v>
      </c>
      <c r="D221" s="4" t="s">
        <v>511</v>
      </c>
      <c r="E221" s="4">
        <v>499</v>
      </c>
      <c r="F221" s="5" t="s">
        <v>69</v>
      </c>
      <c r="G221" s="5" t="s">
        <v>70</v>
      </c>
      <c r="H221" s="4">
        <v>97</v>
      </c>
      <c r="I221" s="12" t="str">
        <f>IFERROR(VLOOKUP($C221,Merchants!$A$2:$D$41,2,FALSE),"Merchant not found")</f>
        <v>Merchant_009</v>
      </c>
      <c r="J221" s="12" t="str">
        <f>IFERROR(VLOOKUP($C221,Merchants!$A$2:$D$41,3,FALSE),"Merchant not found")</f>
        <v>ecommerce</v>
      </c>
      <c r="K221" s="12" t="str">
        <f>IFERROR(VLOOKUP($C221,Merchants!$A$2:$D$41,4,FALSE),"Merchant not found")</f>
        <v>North</v>
      </c>
      <c r="L221" s="13" t="str">
        <f t="shared" si="3"/>
        <v>Standard</v>
      </c>
    </row>
    <row r="222" spans="1:12" x14ac:dyDescent="0.3">
      <c r="A222" s="3" t="s">
        <v>512</v>
      </c>
      <c r="B222" s="2">
        <v>62</v>
      </c>
      <c r="C222" s="2">
        <v>1</v>
      </c>
      <c r="D222" s="2" t="s">
        <v>513</v>
      </c>
      <c r="E222" s="2">
        <v>4999</v>
      </c>
      <c r="F222" s="3" t="s">
        <v>69</v>
      </c>
      <c r="G222" s="3" t="s">
        <v>70</v>
      </c>
      <c r="H222" s="2">
        <v>63</v>
      </c>
      <c r="I222" s="10" t="str">
        <f>IFERROR(VLOOKUP($C222,Merchants!$A$2:$D$41,2,FALSE),"Merchant not found")</f>
        <v>Merchant_001</v>
      </c>
      <c r="J222" s="10" t="str">
        <f>IFERROR(VLOOKUP($C222,Merchants!$A$2:$D$41,3,FALSE),"Merchant not found")</f>
        <v>ecommerce</v>
      </c>
      <c r="K222" s="10" t="str">
        <f>IFERROR(VLOOKUP($C222,Merchants!$A$2:$D$41,4,FALSE),"Merchant not found")</f>
        <v>South</v>
      </c>
      <c r="L222" s="11" t="str">
        <f t="shared" si="3"/>
        <v>High-Value Merchant Day</v>
      </c>
    </row>
    <row r="223" spans="1:12" x14ac:dyDescent="0.3">
      <c r="A223" s="5" t="s">
        <v>514</v>
      </c>
      <c r="B223" s="4">
        <v>67</v>
      </c>
      <c r="C223" s="4">
        <v>25</v>
      </c>
      <c r="D223" s="4" t="s">
        <v>515</v>
      </c>
      <c r="E223" s="4">
        <v>49</v>
      </c>
      <c r="F223" s="5" t="s">
        <v>73</v>
      </c>
      <c r="G223" s="5" t="s">
        <v>70</v>
      </c>
      <c r="H223" s="4">
        <v>68</v>
      </c>
      <c r="I223" s="12" t="str">
        <f>IFERROR(VLOOKUP($C223,Merchants!$A$2:$D$41,2,FALSE),"Merchant not found")</f>
        <v>Merchant_025</v>
      </c>
      <c r="J223" s="12" t="str">
        <f>IFERROR(VLOOKUP($C223,Merchants!$A$2:$D$41,3,FALSE),"Merchant not found")</f>
        <v>travel</v>
      </c>
      <c r="K223" s="12" t="str">
        <f>IFERROR(VLOOKUP($C223,Merchants!$A$2:$D$41,4,FALSE),"Merchant not found")</f>
        <v>South</v>
      </c>
      <c r="L223" s="13" t="str">
        <f t="shared" si="3"/>
        <v>Standard</v>
      </c>
    </row>
    <row r="224" spans="1:12" x14ac:dyDescent="0.3">
      <c r="A224" s="3" t="s">
        <v>516</v>
      </c>
      <c r="B224" s="2">
        <v>287</v>
      </c>
      <c r="C224" s="2">
        <v>23</v>
      </c>
      <c r="D224" s="2" t="s">
        <v>517</v>
      </c>
      <c r="E224" s="2">
        <v>49</v>
      </c>
      <c r="F224" s="3" t="s">
        <v>73</v>
      </c>
      <c r="G224" s="3" t="s">
        <v>70</v>
      </c>
      <c r="H224" s="2">
        <v>9</v>
      </c>
      <c r="I224" s="10" t="str">
        <f>IFERROR(VLOOKUP($C224,Merchants!$A$2:$D$41,2,FALSE),"Merchant not found")</f>
        <v>Merchant_023</v>
      </c>
      <c r="J224" s="10" t="str">
        <f>IFERROR(VLOOKUP($C224,Merchants!$A$2:$D$41,3,FALSE),"Merchant not found")</f>
        <v>travel</v>
      </c>
      <c r="K224" s="10" t="str">
        <f>IFERROR(VLOOKUP($C224,Merchants!$A$2:$D$41,4,FALSE),"Merchant not found")</f>
        <v>North</v>
      </c>
      <c r="L224" s="11" t="str">
        <f t="shared" si="3"/>
        <v>Standard</v>
      </c>
    </row>
    <row r="225" spans="1:12" x14ac:dyDescent="0.3">
      <c r="A225" s="5" t="s">
        <v>518</v>
      </c>
      <c r="B225" s="4">
        <v>224</v>
      </c>
      <c r="C225" s="4">
        <v>2</v>
      </c>
      <c r="D225" s="4" t="s">
        <v>519</v>
      </c>
      <c r="E225" s="4">
        <v>49</v>
      </c>
      <c r="F225" s="5" t="s">
        <v>95</v>
      </c>
      <c r="G225" s="5" t="s">
        <v>70</v>
      </c>
      <c r="H225" s="4">
        <v>58</v>
      </c>
      <c r="I225" s="12" t="str">
        <f>IFERROR(VLOOKUP($C225,Merchants!$A$2:$D$41,2,FALSE),"Merchant not found")</f>
        <v>Merchant_002</v>
      </c>
      <c r="J225" s="12" t="str">
        <f>IFERROR(VLOOKUP($C225,Merchants!$A$2:$D$41,3,FALSE),"Merchant not found")</f>
        <v>grocery</v>
      </c>
      <c r="K225" s="12" t="str">
        <f>IFERROR(VLOOKUP($C225,Merchants!$A$2:$D$41,4,FALSE),"Merchant not found")</f>
        <v>West</v>
      </c>
      <c r="L225" s="13" t="str">
        <f t="shared" si="3"/>
        <v>Standard</v>
      </c>
    </row>
    <row r="226" spans="1:12" x14ac:dyDescent="0.3">
      <c r="A226" s="3" t="s">
        <v>520</v>
      </c>
      <c r="B226" s="2">
        <v>161</v>
      </c>
      <c r="C226" s="2">
        <v>37</v>
      </c>
      <c r="D226" s="2" t="s">
        <v>521</v>
      </c>
      <c r="E226" s="2">
        <v>299</v>
      </c>
      <c r="F226" s="3" t="s">
        <v>73</v>
      </c>
      <c r="G226" s="3" t="s">
        <v>70</v>
      </c>
      <c r="H226" s="2">
        <v>54</v>
      </c>
      <c r="I226" s="10" t="str">
        <f>IFERROR(VLOOKUP($C226,Merchants!$A$2:$D$41,2,FALSE),"Merchant not found")</f>
        <v>Merchant_037</v>
      </c>
      <c r="J226" s="10" t="str">
        <f>IFERROR(VLOOKUP($C226,Merchants!$A$2:$D$41,3,FALSE),"Merchant not found")</f>
        <v>entertainment</v>
      </c>
      <c r="K226" s="10" t="str">
        <f>IFERROR(VLOOKUP($C226,Merchants!$A$2:$D$41,4,FALSE),"Merchant not found")</f>
        <v>South</v>
      </c>
      <c r="L226" s="11" t="str">
        <f t="shared" si="3"/>
        <v>Standard</v>
      </c>
    </row>
    <row r="227" spans="1:12" x14ac:dyDescent="0.3">
      <c r="A227" s="5" t="s">
        <v>522</v>
      </c>
      <c r="B227" s="4">
        <v>328</v>
      </c>
      <c r="C227" s="4">
        <v>27</v>
      </c>
      <c r="D227" s="4" t="s">
        <v>523</v>
      </c>
      <c r="E227" s="4">
        <v>49</v>
      </c>
      <c r="F227" s="5" t="s">
        <v>73</v>
      </c>
      <c r="G227" s="5" t="s">
        <v>121</v>
      </c>
      <c r="H227" s="4">
        <v>37</v>
      </c>
      <c r="I227" s="12" t="str">
        <f>IFERROR(VLOOKUP($C227,Merchants!$A$2:$D$41,2,FALSE),"Merchant not found")</f>
        <v>Merchant_027</v>
      </c>
      <c r="J227" s="12" t="str">
        <f>IFERROR(VLOOKUP($C227,Merchants!$A$2:$D$41,3,FALSE),"Merchant not found")</f>
        <v>ecommerce</v>
      </c>
      <c r="K227" s="12" t="str">
        <f>IFERROR(VLOOKUP($C227,Merchants!$A$2:$D$41,4,FALSE),"Merchant not found")</f>
        <v>North</v>
      </c>
      <c r="L227" s="13" t="str">
        <f t="shared" si="3"/>
        <v>Standard</v>
      </c>
    </row>
    <row r="228" spans="1:12" x14ac:dyDescent="0.3">
      <c r="A228" s="3" t="s">
        <v>524</v>
      </c>
      <c r="B228" s="2">
        <v>167</v>
      </c>
      <c r="C228" s="2">
        <v>11</v>
      </c>
      <c r="D228" s="2" t="s">
        <v>525</v>
      </c>
      <c r="E228" s="2">
        <v>1499</v>
      </c>
      <c r="F228" s="3" t="s">
        <v>95</v>
      </c>
      <c r="G228" s="3" t="s">
        <v>96</v>
      </c>
      <c r="H228" s="2">
        <v>79</v>
      </c>
      <c r="I228" s="10" t="str">
        <f>IFERROR(VLOOKUP($C228,Merchants!$A$2:$D$41,2,FALSE),"Merchant not found")</f>
        <v>Merchant_011</v>
      </c>
      <c r="J228" s="10" t="str">
        <f>IFERROR(VLOOKUP($C228,Merchants!$A$2:$D$41,3,FALSE),"Merchant not found")</f>
        <v>ecommerce</v>
      </c>
      <c r="K228" s="10" t="str">
        <f>IFERROR(VLOOKUP($C228,Merchants!$A$2:$D$41,4,FALSE),"Merchant not found")</f>
        <v>North</v>
      </c>
      <c r="L228" s="11" t="str">
        <f t="shared" si="3"/>
        <v>Standard</v>
      </c>
    </row>
    <row r="229" spans="1:12" x14ac:dyDescent="0.3">
      <c r="A229" s="5" t="s">
        <v>526</v>
      </c>
      <c r="B229" s="4">
        <v>186</v>
      </c>
      <c r="C229" s="4">
        <v>6</v>
      </c>
      <c r="D229" s="4" t="s">
        <v>527</v>
      </c>
      <c r="E229" s="4">
        <v>49</v>
      </c>
      <c r="F229" s="5" t="s">
        <v>69</v>
      </c>
      <c r="G229" s="5" t="s">
        <v>70</v>
      </c>
      <c r="H229" s="4">
        <v>55</v>
      </c>
      <c r="I229" s="12" t="str">
        <f>IFERROR(VLOOKUP($C229,Merchants!$A$2:$D$41,2,FALSE),"Merchant not found")</f>
        <v>Merchant_006</v>
      </c>
      <c r="J229" s="12" t="str">
        <f>IFERROR(VLOOKUP($C229,Merchants!$A$2:$D$41,3,FALSE),"Merchant not found")</f>
        <v>food_delivery</v>
      </c>
      <c r="K229" s="12" t="str">
        <f>IFERROR(VLOOKUP($C229,Merchants!$A$2:$D$41,4,FALSE),"Merchant not found")</f>
        <v>South</v>
      </c>
      <c r="L229" s="13" t="str">
        <f t="shared" si="3"/>
        <v>Standard</v>
      </c>
    </row>
    <row r="230" spans="1:12" x14ac:dyDescent="0.3">
      <c r="A230" s="3" t="s">
        <v>528</v>
      </c>
      <c r="B230" s="2">
        <v>224</v>
      </c>
      <c r="C230" s="2">
        <v>38</v>
      </c>
      <c r="D230" s="2" t="s">
        <v>529</v>
      </c>
      <c r="E230" s="2">
        <v>299</v>
      </c>
      <c r="F230" s="3" t="s">
        <v>69</v>
      </c>
      <c r="G230" s="3" t="s">
        <v>96</v>
      </c>
      <c r="H230" s="2">
        <v>51</v>
      </c>
      <c r="I230" s="10" t="str">
        <f>IFERROR(VLOOKUP($C230,Merchants!$A$2:$D$41,2,FALSE),"Merchant not found")</f>
        <v>Merchant_038</v>
      </c>
      <c r="J230" s="10" t="str">
        <f>IFERROR(VLOOKUP($C230,Merchants!$A$2:$D$41,3,FALSE),"Merchant not found")</f>
        <v>grocery</v>
      </c>
      <c r="K230" s="10" t="str">
        <f>IFERROR(VLOOKUP($C230,Merchants!$A$2:$D$41,4,FALSE),"Merchant not found")</f>
        <v>East</v>
      </c>
      <c r="L230" s="11" t="str">
        <f t="shared" si="3"/>
        <v>Standard</v>
      </c>
    </row>
    <row r="231" spans="1:12" x14ac:dyDescent="0.3">
      <c r="A231" s="5" t="s">
        <v>530</v>
      </c>
      <c r="B231" s="4">
        <v>159</v>
      </c>
      <c r="C231" s="4">
        <v>22</v>
      </c>
      <c r="D231" s="4" t="s">
        <v>531</v>
      </c>
      <c r="E231" s="4">
        <v>799</v>
      </c>
      <c r="F231" s="5" t="s">
        <v>73</v>
      </c>
      <c r="G231" s="5" t="s">
        <v>70</v>
      </c>
      <c r="H231" s="4">
        <v>28</v>
      </c>
      <c r="I231" s="12" t="str">
        <f>IFERROR(VLOOKUP($C231,Merchants!$A$2:$D$41,2,FALSE),"Merchant not found")</f>
        <v>Merchant_022</v>
      </c>
      <c r="J231" s="12" t="str">
        <f>IFERROR(VLOOKUP($C231,Merchants!$A$2:$D$41,3,FALSE),"Merchant not found")</f>
        <v>travel</v>
      </c>
      <c r="K231" s="12" t="str">
        <f>IFERROR(VLOOKUP($C231,Merchants!$A$2:$D$41,4,FALSE),"Merchant not found")</f>
        <v>South</v>
      </c>
      <c r="L231" s="13" t="str">
        <f t="shared" si="3"/>
        <v>Standard</v>
      </c>
    </row>
    <row r="232" spans="1:12" x14ac:dyDescent="0.3">
      <c r="A232" s="3" t="s">
        <v>532</v>
      </c>
      <c r="B232" s="2">
        <v>262</v>
      </c>
      <c r="C232" s="2">
        <v>8</v>
      </c>
      <c r="D232" s="2" t="s">
        <v>533</v>
      </c>
      <c r="E232" s="2">
        <v>149</v>
      </c>
      <c r="F232" s="3" t="s">
        <v>73</v>
      </c>
      <c r="G232" s="3" t="s">
        <v>70</v>
      </c>
      <c r="H232" s="2">
        <v>67</v>
      </c>
      <c r="I232" s="10" t="str">
        <f>IFERROR(VLOOKUP($C232,Merchants!$A$2:$D$41,2,FALSE),"Merchant not found")</f>
        <v>Merchant_008</v>
      </c>
      <c r="J232" s="10" t="str">
        <f>IFERROR(VLOOKUP($C232,Merchants!$A$2:$D$41,3,FALSE),"Merchant not found")</f>
        <v>food_delivery</v>
      </c>
      <c r="K232" s="10" t="str">
        <f>IFERROR(VLOOKUP($C232,Merchants!$A$2:$D$41,4,FALSE),"Merchant not found")</f>
        <v>North</v>
      </c>
      <c r="L232" s="11" t="str">
        <f t="shared" si="3"/>
        <v>Standard</v>
      </c>
    </row>
    <row r="233" spans="1:12" x14ac:dyDescent="0.3">
      <c r="A233" s="5" t="s">
        <v>534</v>
      </c>
      <c r="B233" s="4">
        <v>179</v>
      </c>
      <c r="C233" s="4">
        <v>23</v>
      </c>
      <c r="D233" s="4" t="s">
        <v>535</v>
      </c>
      <c r="E233" s="4">
        <v>49</v>
      </c>
      <c r="F233" s="5" t="s">
        <v>69</v>
      </c>
      <c r="G233" s="5" t="s">
        <v>70</v>
      </c>
      <c r="H233" s="4">
        <v>93</v>
      </c>
      <c r="I233" s="12" t="str">
        <f>IFERROR(VLOOKUP($C233,Merchants!$A$2:$D$41,2,FALSE),"Merchant not found")</f>
        <v>Merchant_023</v>
      </c>
      <c r="J233" s="12" t="str">
        <f>IFERROR(VLOOKUP($C233,Merchants!$A$2:$D$41,3,FALSE),"Merchant not found")</f>
        <v>travel</v>
      </c>
      <c r="K233" s="12" t="str">
        <f>IFERROR(VLOOKUP($C233,Merchants!$A$2:$D$41,4,FALSE),"Merchant not found")</f>
        <v>North</v>
      </c>
      <c r="L233" s="13" t="str">
        <f t="shared" si="3"/>
        <v>Standard</v>
      </c>
    </row>
    <row r="234" spans="1:12" x14ac:dyDescent="0.3">
      <c r="A234" s="3" t="s">
        <v>536</v>
      </c>
      <c r="B234" s="2">
        <v>76</v>
      </c>
      <c r="C234" s="2">
        <v>16</v>
      </c>
      <c r="D234" s="2" t="s">
        <v>537</v>
      </c>
      <c r="E234" s="2">
        <v>299</v>
      </c>
      <c r="F234" s="3" t="s">
        <v>73</v>
      </c>
      <c r="G234" s="3" t="s">
        <v>70</v>
      </c>
      <c r="H234" s="2">
        <v>13</v>
      </c>
      <c r="I234" s="10" t="str">
        <f>IFERROR(VLOOKUP($C234,Merchants!$A$2:$D$41,2,FALSE),"Merchant not found")</f>
        <v>Merchant_016</v>
      </c>
      <c r="J234" s="10" t="str">
        <f>IFERROR(VLOOKUP($C234,Merchants!$A$2:$D$41,3,FALSE),"Merchant not found")</f>
        <v>bill_payment</v>
      </c>
      <c r="K234" s="10" t="str">
        <f>IFERROR(VLOOKUP($C234,Merchants!$A$2:$D$41,4,FALSE),"Merchant not found")</f>
        <v>West</v>
      </c>
      <c r="L234" s="11" t="str">
        <f t="shared" si="3"/>
        <v>Standard</v>
      </c>
    </row>
    <row r="235" spans="1:12" x14ac:dyDescent="0.3">
      <c r="A235" s="5" t="s">
        <v>538</v>
      </c>
      <c r="B235" s="4">
        <v>89</v>
      </c>
      <c r="C235" s="4">
        <v>39</v>
      </c>
      <c r="D235" s="4" t="s">
        <v>539</v>
      </c>
      <c r="E235" s="4">
        <v>299</v>
      </c>
      <c r="F235" s="5" t="s">
        <v>73</v>
      </c>
      <c r="G235" s="5" t="s">
        <v>70</v>
      </c>
      <c r="H235" s="4">
        <v>19</v>
      </c>
      <c r="I235" s="12" t="str">
        <f>IFERROR(VLOOKUP($C235,Merchants!$A$2:$D$41,2,FALSE),"Merchant not found")</f>
        <v>Merchant_039</v>
      </c>
      <c r="J235" s="12" t="str">
        <f>IFERROR(VLOOKUP($C235,Merchants!$A$2:$D$41,3,FALSE),"Merchant not found")</f>
        <v>entertainment</v>
      </c>
      <c r="K235" s="12" t="str">
        <f>IFERROR(VLOOKUP($C235,Merchants!$A$2:$D$41,4,FALSE),"Merchant not found")</f>
        <v>North</v>
      </c>
      <c r="L235" s="13" t="str">
        <f t="shared" si="3"/>
        <v>Standard</v>
      </c>
    </row>
    <row r="236" spans="1:12" x14ac:dyDescent="0.3">
      <c r="A236" s="3" t="s">
        <v>540</v>
      </c>
      <c r="B236" s="2">
        <v>91</v>
      </c>
      <c r="C236" s="2">
        <v>32</v>
      </c>
      <c r="D236" s="2" t="s">
        <v>541</v>
      </c>
      <c r="E236" s="2">
        <v>49</v>
      </c>
      <c r="F236" s="3" t="s">
        <v>73</v>
      </c>
      <c r="G236" s="3" t="s">
        <v>70</v>
      </c>
      <c r="H236" s="2">
        <v>59</v>
      </c>
      <c r="I236" s="10" t="str">
        <f>IFERROR(VLOOKUP($C236,Merchants!$A$2:$D$41,2,FALSE),"Merchant not found")</f>
        <v>Merchant_032</v>
      </c>
      <c r="J236" s="10" t="str">
        <f>IFERROR(VLOOKUP($C236,Merchants!$A$2:$D$41,3,FALSE),"Merchant not found")</f>
        <v>food_delivery</v>
      </c>
      <c r="K236" s="10" t="str">
        <f>IFERROR(VLOOKUP($C236,Merchants!$A$2:$D$41,4,FALSE),"Merchant not found")</f>
        <v>West</v>
      </c>
      <c r="L236" s="11" t="str">
        <f t="shared" si="3"/>
        <v>Standard</v>
      </c>
    </row>
    <row r="237" spans="1:12" x14ac:dyDescent="0.3">
      <c r="A237" s="5" t="s">
        <v>542</v>
      </c>
      <c r="B237" s="4">
        <v>297</v>
      </c>
      <c r="C237" s="4">
        <v>29</v>
      </c>
      <c r="D237" s="4" t="s">
        <v>543</v>
      </c>
      <c r="E237" s="4">
        <v>99</v>
      </c>
      <c r="F237" s="5" t="s">
        <v>95</v>
      </c>
      <c r="G237" s="5" t="s">
        <v>121</v>
      </c>
      <c r="H237" s="4">
        <v>87</v>
      </c>
      <c r="I237" s="12" t="str">
        <f>IFERROR(VLOOKUP($C237,Merchants!$A$2:$D$41,2,FALSE),"Merchant not found")</f>
        <v>Merchant_029</v>
      </c>
      <c r="J237" s="12" t="str">
        <f>IFERROR(VLOOKUP($C237,Merchants!$A$2:$D$41,3,FALSE),"Merchant not found")</f>
        <v>ecommerce</v>
      </c>
      <c r="K237" s="12" t="str">
        <f>IFERROR(VLOOKUP($C237,Merchants!$A$2:$D$41,4,FALSE),"Merchant not found")</f>
        <v>North</v>
      </c>
      <c r="L237" s="13" t="str">
        <f t="shared" si="3"/>
        <v>Standard</v>
      </c>
    </row>
    <row r="238" spans="1:12" x14ac:dyDescent="0.3">
      <c r="A238" s="3" t="s">
        <v>544</v>
      </c>
      <c r="B238" s="2">
        <v>326</v>
      </c>
      <c r="C238" s="2">
        <v>40</v>
      </c>
      <c r="D238" s="2" t="s">
        <v>545</v>
      </c>
      <c r="E238" s="2">
        <v>499</v>
      </c>
      <c r="F238" s="3" t="s">
        <v>95</v>
      </c>
      <c r="G238" s="3" t="s">
        <v>70</v>
      </c>
      <c r="H238" s="2">
        <v>41</v>
      </c>
      <c r="I238" s="10" t="str">
        <f>IFERROR(VLOOKUP($C238,Merchants!$A$2:$D$41,2,FALSE),"Merchant not found")</f>
        <v>Merchant_040</v>
      </c>
      <c r="J238" s="10" t="str">
        <f>IFERROR(VLOOKUP($C238,Merchants!$A$2:$D$41,3,FALSE),"Merchant not found")</f>
        <v>entertainment</v>
      </c>
      <c r="K238" s="10" t="str">
        <f>IFERROR(VLOOKUP($C238,Merchants!$A$2:$D$41,4,FALSE),"Merchant not found")</f>
        <v>South</v>
      </c>
      <c r="L238" s="11" t="str">
        <f t="shared" si="3"/>
        <v>Standard</v>
      </c>
    </row>
    <row r="239" spans="1:12" x14ac:dyDescent="0.3">
      <c r="A239" s="5" t="s">
        <v>546</v>
      </c>
      <c r="B239" s="4">
        <v>78</v>
      </c>
      <c r="C239" s="4">
        <v>29</v>
      </c>
      <c r="D239" s="4" t="s">
        <v>547</v>
      </c>
      <c r="E239" s="4">
        <v>149</v>
      </c>
      <c r="F239" s="5" t="s">
        <v>73</v>
      </c>
      <c r="G239" s="5" t="s">
        <v>70</v>
      </c>
      <c r="H239" s="4">
        <v>8</v>
      </c>
      <c r="I239" s="12" t="str">
        <f>IFERROR(VLOOKUP($C239,Merchants!$A$2:$D$41,2,FALSE),"Merchant not found")</f>
        <v>Merchant_029</v>
      </c>
      <c r="J239" s="12" t="str">
        <f>IFERROR(VLOOKUP($C239,Merchants!$A$2:$D$41,3,FALSE),"Merchant not found")</f>
        <v>ecommerce</v>
      </c>
      <c r="K239" s="12" t="str">
        <f>IFERROR(VLOOKUP($C239,Merchants!$A$2:$D$41,4,FALSE),"Merchant not found")</f>
        <v>North</v>
      </c>
      <c r="L239" s="13" t="str">
        <f t="shared" si="3"/>
        <v>Standard</v>
      </c>
    </row>
    <row r="240" spans="1:12" x14ac:dyDescent="0.3">
      <c r="A240" s="3" t="s">
        <v>548</v>
      </c>
      <c r="B240" s="2">
        <v>156</v>
      </c>
      <c r="C240" s="2">
        <v>18</v>
      </c>
      <c r="D240" s="2" t="s">
        <v>549</v>
      </c>
      <c r="E240" s="2">
        <v>2999</v>
      </c>
      <c r="F240" s="3" t="s">
        <v>95</v>
      </c>
      <c r="G240" s="3" t="s">
        <v>70</v>
      </c>
      <c r="H240" s="2">
        <v>75</v>
      </c>
      <c r="I240" s="10" t="str">
        <f>IFERROR(VLOOKUP($C240,Merchants!$A$2:$D$41,2,FALSE),"Merchant not found")</f>
        <v>Merchant_018</v>
      </c>
      <c r="J240" s="10" t="str">
        <f>IFERROR(VLOOKUP($C240,Merchants!$A$2:$D$41,3,FALSE),"Merchant not found")</f>
        <v>grocery</v>
      </c>
      <c r="K240" s="10" t="str">
        <f>IFERROR(VLOOKUP($C240,Merchants!$A$2:$D$41,4,FALSE),"Merchant not found")</f>
        <v>West</v>
      </c>
      <c r="L240" s="11" t="str">
        <f t="shared" si="3"/>
        <v>Standard</v>
      </c>
    </row>
    <row r="241" spans="1:12" x14ac:dyDescent="0.3">
      <c r="A241" s="5" t="s">
        <v>550</v>
      </c>
      <c r="B241" s="4">
        <v>38</v>
      </c>
      <c r="C241" s="4">
        <v>20</v>
      </c>
      <c r="D241" s="4" t="s">
        <v>551</v>
      </c>
      <c r="E241" s="4">
        <v>49</v>
      </c>
      <c r="F241" s="5" t="s">
        <v>69</v>
      </c>
      <c r="G241" s="5" t="s">
        <v>96</v>
      </c>
      <c r="H241" s="4">
        <v>59</v>
      </c>
      <c r="I241" s="12" t="str">
        <f>IFERROR(VLOOKUP($C241,Merchants!$A$2:$D$41,2,FALSE),"Merchant not found")</f>
        <v>Merchant_020</v>
      </c>
      <c r="J241" s="12" t="str">
        <f>IFERROR(VLOOKUP($C241,Merchants!$A$2:$D$41,3,FALSE),"Merchant not found")</f>
        <v>food_delivery</v>
      </c>
      <c r="K241" s="12" t="str">
        <f>IFERROR(VLOOKUP($C241,Merchants!$A$2:$D$41,4,FALSE),"Merchant not found")</f>
        <v>East</v>
      </c>
      <c r="L241" s="13" t="str">
        <f t="shared" si="3"/>
        <v>Standard</v>
      </c>
    </row>
    <row r="242" spans="1:12" x14ac:dyDescent="0.3">
      <c r="A242" s="3" t="s">
        <v>552</v>
      </c>
      <c r="B242" s="2">
        <v>189</v>
      </c>
      <c r="C242" s="2">
        <v>19</v>
      </c>
      <c r="D242" s="2" t="s">
        <v>553</v>
      </c>
      <c r="E242" s="2">
        <v>99</v>
      </c>
      <c r="F242" s="3" t="s">
        <v>73</v>
      </c>
      <c r="G242" s="3" t="s">
        <v>96</v>
      </c>
      <c r="H242" s="2">
        <v>9</v>
      </c>
      <c r="I242" s="10" t="str">
        <f>IFERROR(VLOOKUP($C242,Merchants!$A$2:$D$41,2,FALSE),"Merchant not found")</f>
        <v>Merchant_019</v>
      </c>
      <c r="J242" s="10" t="str">
        <f>IFERROR(VLOOKUP($C242,Merchants!$A$2:$D$41,3,FALSE),"Merchant not found")</f>
        <v>grocery</v>
      </c>
      <c r="K242" s="10" t="str">
        <f>IFERROR(VLOOKUP($C242,Merchants!$A$2:$D$41,4,FALSE),"Merchant not found")</f>
        <v>North</v>
      </c>
      <c r="L242" s="11" t="str">
        <f t="shared" si="3"/>
        <v>Standard</v>
      </c>
    </row>
    <row r="243" spans="1:12" x14ac:dyDescent="0.3">
      <c r="A243" s="5" t="s">
        <v>554</v>
      </c>
      <c r="B243" s="4">
        <v>305</v>
      </c>
      <c r="C243" s="4">
        <v>33</v>
      </c>
      <c r="D243" s="4" t="s">
        <v>555</v>
      </c>
      <c r="E243" s="4">
        <v>299</v>
      </c>
      <c r="F243" s="5" t="s">
        <v>95</v>
      </c>
      <c r="G243" s="5" t="s">
        <v>70</v>
      </c>
      <c r="H243" s="4">
        <v>49</v>
      </c>
      <c r="I243" s="12" t="str">
        <f>IFERROR(VLOOKUP($C243,Merchants!$A$2:$D$41,2,FALSE),"Merchant not found")</f>
        <v>Merchant_033</v>
      </c>
      <c r="J243" s="12" t="str">
        <f>IFERROR(VLOOKUP($C243,Merchants!$A$2:$D$41,3,FALSE),"Merchant not found")</f>
        <v>bill_payment</v>
      </c>
      <c r="K243" s="12" t="str">
        <f>IFERROR(VLOOKUP($C243,Merchants!$A$2:$D$41,4,FALSE),"Merchant not found")</f>
        <v>East</v>
      </c>
      <c r="L243" s="13" t="str">
        <f t="shared" si="3"/>
        <v>Standard</v>
      </c>
    </row>
    <row r="244" spans="1:12" x14ac:dyDescent="0.3">
      <c r="A244" s="3" t="s">
        <v>556</v>
      </c>
      <c r="B244" s="2">
        <v>22</v>
      </c>
      <c r="C244" s="2">
        <v>29</v>
      </c>
      <c r="D244" s="2" t="s">
        <v>557</v>
      </c>
      <c r="E244" s="2">
        <v>799</v>
      </c>
      <c r="F244" s="3" t="s">
        <v>73</v>
      </c>
      <c r="G244" s="3" t="s">
        <v>70</v>
      </c>
      <c r="H244" s="2">
        <v>73</v>
      </c>
      <c r="I244" s="10" t="str">
        <f>IFERROR(VLOOKUP($C244,Merchants!$A$2:$D$41,2,FALSE),"Merchant not found")</f>
        <v>Merchant_029</v>
      </c>
      <c r="J244" s="10" t="str">
        <f>IFERROR(VLOOKUP($C244,Merchants!$A$2:$D$41,3,FALSE),"Merchant not found")</f>
        <v>ecommerce</v>
      </c>
      <c r="K244" s="10" t="str">
        <f>IFERROR(VLOOKUP($C244,Merchants!$A$2:$D$41,4,FALSE),"Merchant not found")</f>
        <v>North</v>
      </c>
      <c r="L244" s="11" t="str">
        <f t="shared" si="3"/>
        <v>Standard</v>
      </c>
    </row>
    <row r="245" spans="1:12" x14ac:dyDescent="0.3">
      <c r="A245" s="5" t="s">
        <v>558</v>
      </c>
      <c r="B245" s="4">
        <v>310</v>
      </c>
      <c r="C245" s="4">
        <v>31</v>
      </c>
      <c r="D245" s="4" t="s">
        <v>559</v>
      </c>
      <c r="E245" s="4">
        <v>49</v>
      </c>
      <c r="F245" s="5" t="s">
        <v>95</v>
      </c>
      <c r="G245" s="5" t="s">
        <v>70</v>
      </c>
      <c r="H245" s="4">
        <v>64</v>
      </c>
      <c r="I245" s="12" t="str">
        <f>IFERROR(VLOOKUP($C245,Merchants!$A$2:$D$41,2,FALSE),"Merchant not found")</f>
        <v>Merchant_031</v>
      </c>
      <c r="J245" s="12" t="str">
        <f>IFERROR(VLOOKUP($C245,Merchants!$A$2:$D$41,3,FALSE),"Merchant not found")</f>
        <v>bill_payment</v>
      </c>
      <c r="K245" s="12" t="str">
        <f>IFERROR(VLOOKUP($C245,Merchants!$A$2:$D$41,4,FALSE),"Merchant not found")</f>
        <v>East</v>
      </c>
      <c r="L245" s="13" t="str">
        <f t="shared" si="3"/>
        <v>Standard</v>
      </c>
    </row>
    <row r="246" spans="1:12" x14ac:dyDescent="0.3">
      <c r="A246" s="3" t="s">
        <v>560</v>
      </c>
      <c r="B246" s="2">
        <v>53</v>
      </c>
      <c r="C246" s="2">
        <v>22</v>
      </c>
      <c r="D246" s="2" t="s">
        <v>561</v>
      </c>
      <c r="E246" s="2">
        <v>299</v>
      </c>
      <c r="F246" s="3" t="s">
        <v>73</v>
      </c>
      <c r="G246" s="3" t="s">
        <v>70</v>
      </c>
      <c r="H246" s="2">
        <v>91</v>
      </c>
      <c r="I246" s="10" t="str">
        <f>IFERROR(VLOOKUP($C246,Merchants!$A$2:$D$41,2,FALSE),"Merchant not found")</f>
        <v>Merchant_022</v>
      </c>
      <c r="J246" s="10" t="str">
        <f>IFERROR(VLOOKUP($C246,Merchants!$A$2:$D$41,3,FALSE),"Merchant not found")</f>
        <v>travel</v>
      </c>
      <c r="K246" s="10" t="str">
        <f>IFERROR(VLOOKUP($C246,Merchants!$A$2:$D$41,4,FALSE),"Merchant not found")</f>
        <v>South</v>
      </c>
      <c r="L246" s="11" t="str">
        <f t="shared" si="3"/>
        <v>Standard</v>
      </c>
    </row>
    <row r="247" spans="1:12" x14ac:dyDescent="0.3">
      <c r="A247" s="5" t="s">
        <v>562</v>
      </c>
      <c r="B247" s="4">
        <v>89</v>
      </c>
      <c r="C247" s="4">
        <v>3</v>
      </c>
      <c r="D247" s="4" t="s">
        <v>563</v>
      </c>
      <c r="E247" s="4">
        <v>149</v>
      </c>
      <c r="F247" s="5" t="s">
        <v>95</v>
      </c>
      <c r="G247" s="5" t="s">
        <v>70</v>
      </c>
      <c r="H247" s="4">
        <v>31</v>
      </c>
      <c r="I247" s="12" t="str">
        <f>IFERROR(VLOOKUP($C247,Merchants!$A$2:$D$41,2,FALSE),"Merchant not found")</f>
        <v>Merchant_003</v>
      </c>
      <c r="J247" s="12" t="str">
        <f>IFERROR(VLOOKUP($C247,Merchants!$A$2:$D$41,3,FALSE),"Merchant not found")</f>
        <v>grocery</v>
      </c>
      <c r="K247" s="12" t="str">
        <f>IFERROR(VLOOKUP($C247,Merchants!$A$2:$D$41,4,FALSE),"Merchant not found")</f>
        <v>East</v>
      </c>
      <c r="L247" s="13" t="str">
        <f t="shared" si="3"/>
        <v>Standard</v>
      </c>
    </row>
    <row r="248" spans="1:12" x14ac:dyDescent="0.3">
      <c r="A248" s="3" t="s">
        <v>564</v>
      </c>
      <c r="B248" s="2">
        <v>269</v>
      </c>
      <c r="C248" s="2">
        <v>34</v>
      </c>
      <c r="D248" s="2" t="s">
        <v>565</v>
      </c>
      <c r="E248" s="2">
        <v>149</v>
      </c>
      <c r="F248" s="3" t="s">
        <v>73</v>
      </c>
      <c r="G248" s="3" t="s">
        <v>70</v>
      </c>
      <c r="H248" s="2">
        <v>78</v>
      </c>
      <c r="I248" s="10" t="str">
        <f>IFERROR(VLOOKUP($C248,Merchants!$A$2:$D$41,2,FALSE),"Merchant not found")</f>
        <v>Merchant_034</v>
      </c>
      <c r="J248" s="10" t="str">
        <f>IFERROR(VLOOKUP($C248,Merchants!$A$2:$D$41,3,FALSE),"Merchant not found")</f>
        <v>travel</v>
      </c>
      <c r="K248" s="10" t="str">
        <f>IFERROR(VLOOKUP($C248,Merchants!$A$2:$D$41,4,FALSE),"Merchant not found")</f>
        <v>South</v>
      </c>
      <c r="L248" s="11" t="str">
        <f t="shared" si="3"/>
        <v>Standard</v>
      </c>
    </row>
    <row r="249" spans="1:12" x14ac:dyDescent="0.3">
      <c r="A249" s="5" t="s">
        <v>566</v>
      </c>
      <c r="B249" s="4">
        <v>145</v>
      </c>
      <c r="C249" s="4">
        <v>25</v>
      </c>
      <c r="D249" s="4" t="s">
        <v>567</v>
      </c>
      <c r="E249" s="4">
        <v>799</v>
      </c>
      <c r="F249" s="5" t="s">
        <v>73</v>
      </c>
      <c r="G249" s="5" t="s">
        <v>70</v>
      </c>
      <c r="H249" s="4">
        <v>52</v>
      </c>
      <c r="I249" s="12" t="str">
        <f>IFERROR(VLOOKUP($C249,Merchants!$A$2:$D$41,2,FALSE),"Merchant not found")</f>
        <v>Merchant_025</v>
      </c>
      <c r="J249" s="12" t="str">
        <f>IFERROR(VLOOKUP($C249,Merchants!$A$2:$D$41,3,FALSE),"Merchant not found")</f>
        <v>travel</v>
      </c>
      <c r="K249" s="12" t="str">
        <f>IFERROR(VLOOKUP($C249,Merchants!$A$2:$D$41,4,FALSE),"Merchant not found")</f>
        <v>South</v>
      </c>
      <c r="L249" s="13" t="str">
        <f t="shared" si="3"/>
        <v>Standard</v>
      </c>
    </row>
    <row r="250" spans="1:12" x14ac:dyDescent="0.3">
      <c r="A250" s="3" t="s">
        <v>568</v>
      </c>
      <c r="B250" s="2">
        <v>307</v>
      </c>
      <c r="C250" s="2">
        <v>4</v>
      </c>
      <c r="D250" s="2" t="s">
        <v>569</v>
      </c>
      <c r="E250" s="2">
        <v>1499</v>
      </c>
      <c r="F250" s="3" t="s">
        <v>73</v>
      </c>
      <c r="G250" s="3" t="s">
        <v>70</v>
      </c>
      <c r="H250" s="2">
        <v>80</v>
      </c>
      <c r="I250" s="10" t="str">
        <f>IFERROR(VLOOKUP($C250,Merchants!$A$2:$D$41,2,FALSE),"Merchant not found")</f>
        <v>Merchant_004</v>
      </c>
      <c r="J250" s="10" t="str">
        <f>IFERROR(VLOOKUP($C250,Merchants!$A$2:$D$41,3,FALSE),"Merchant not found")</f>
        <v>ecommerce</v>
      </c>
      <c r="K250" s="10" t="str">
        <f>IFERROR(VLOOKUP($C250,Merchants!$A$2:$D$41,4,FALSE),"Merchant not found")</f>
        <v>East</v>
      </c>
      <c r="L250" s="11" t="str">
        <f t="shared" si="3"/>
        <v>Standard</v>
      </c>
    </row>
    <row r="251" spans="1:12" x14ac:dyDescent="0.3">
      <c r="A251" s="5" t="s">
        <v>570</v>
      </c>
      <c r="B251" s="4">
        <v>169</v>
      </c>
      <c r="C251" s="4">
        <v>7</v>
      </c>
      <c r="D251" s="4" t="s">
        <v>571</v>
      </c>
      <c r="E251" s="4">
        <v>1499</v>
      </c>
      <c r="F251" s="5" t="s">
        <v>69</v>
      </c>
      <c r="G251" s="5" t="s">
        <v>70</v>
      </c>
      <c r="H251" s="4">
        <v>71</v>
      </c>
      <c r="I251" s="12" t="str">
        <f>IFERROR(VLOOKUP($C251,Merchants!$A$2:$D$41,2,FALSE),"Merchant not found")</f>
        <v>Merchant_007</v>
      </c>
      <c r="J251" s="12" t="str">
        <f>IFERROR(VLOOKUP($C251,Merchants!$A$2:$D$41,3,FALSE),"Merchant not found")</f>
        <v>food_delivery</v>
      </c>
      <c r="K251" s="12" t="str">
        <f>IFERROR(VLOOKUP($C251,Merchants!$A$2:$D$41,4,FALSE),"Merchant not found")</f>
        <v>East</v>
      </c>
      <c r="L251" s="13" t="str">
        <f t="shared" si="3"/>
        <v>Standard</v>
      </c>
    </row>
    <row r="252" spans="1:12" x14ac:dyDescent="0.3">
      <c r="A252" s="3" t="s">
        <v>572</v>
      </c>
      <c r="B252" s="2">
        <v>130</v>
      </c>
      <c r="C252" s="2">
        <v>39</v>
      </c>
      <c r="D252" s="2" t="s">
        <v>573</v>
      </c>
      <c r="E252" s="2">
        <v>2999</v>
      </c>
      <c r="F252" s="3" t="s">
        <v>69</v>
      </c>
      <c r="G252" s="3" t="s">
        <v>70</v>
      </c>
      <c r="H252" s="2">
        <v>19</v>
      </c>
      <c r="I252" s="10" t="str">
        <f>IFERROR(VLOOKUP($C252,Merchants!$A$2:$D$41,2,FALSE),"Merchant not found")</f>
        <v>Merchant_039</v>
      </c>
      <c r="J252" s="10" t="str">
        <f>IFERROR(VLOOKUP($C252,Merchants!$A$2:$D$41,3,FALSE),"Merchant not found")</f>
        <v>entertainment</v>
      </c>
      <c r="K252" s="10" t="str">
        <f>IFERROR(VLOOKUP($C252,Merchants!$A$2:$D$41,4,FALSE),"Merchant not found")</f>
        <v>North</v>
      </c>
      <c r="L252" s="11" t="str">
        <f t="shared" si="3"/>
        <v>High-Value Merchant Day</v>
      </c>
    </row>
    <row r="253" spans="1:12" x14ac:dyDescent="0.3">
      <c r="A253" s="5" t="s">
        <v>574</v>
      </c>
      <c r="B253" s="4">
        <v>340</v>
      </c>
      <c r="C253" s="4">
        <v>10</v>
      </c>
      <c r="D253" s="4" t="s">
        <v>575</v>
      </c>
      <c r="E253" s="4">
        <v>49</v>
      </c>
      <c r="F253" s="5" t="s">
        <v>95</v>
      </c>
      <c r="G253" s="5" t="s">
        <v>70</v>
      </c>
      <c r="H253" s="4">
        <v>44</v>
      </c>
      <c r="I253" s="12" t="str">
        <f>IFERROR(VLOOKUP($C253,Merchants!$A$2:$D$41,2,FALSE),"Merchant not found")</f>
        <v>Merchant_010</v>
      </c>
      <c r="J253" s="12" t="str">
        <f>IFERROR(VLOOKUP($C253,Merchants!$A$2:$D$41,3,FALSE),"Merchant not found")</f>
        <v>grocery</v>
      </c>
      <c r="K253" s="12" t="str">
        <f>IFERROR(VLOOKUP($C253,Merchants!$A$2:$D$41,4,FALSE),"Merchant not found")</f>
        <v>West</v>
      </c>
      <c r="L253" s="13" t="str">
        <f t="shared" si="3"/>
        <v>Standard</v>
      </c>
    </row>
    <row r="254" spans="1:12" x14ac:dyDescent="0.3">
      <c r="A254" s="3" t="s">
        <v>576</v>
      </c>
      <c r="B254" s="2">
        <v>340</v>
      </c>
      <c r="C254" s="2">
        <v>26</v>
      </c>
      <c r="D254" s="2" t="s">
        <v>577</v>
      </c>
      <c r="E254" s="2">
        <v>299</v>
      </c>
      <c r="F254" s="3" t="s">
        <v>95</v>
      </c>
      <c r="G254" s="3" t="s">
        <v>70</v>
      </c>
      <c r="H254" s="2">
        <v>16</v>
      </c>
      <c r="I254" s="10" t="str">
        <f>IFERROR(VLOOKUP($C254,Merchants!$A$2:$D$41,2,FALSE),"Merchant not found")</f>
        <v>Merchant_026</v>
      </c>
      <c r="J254" s="10" t="str">
        <f>IFERROR(VLOOKUP($C254,Merchants!$A$2:$D$41,3,FALSE),"Merchant not found")</f>
        <v>food_delivery</v>
      </c>
      <c r="K254" s="10" t="str">
        <f>IFERROR(VLOOKUP($C254,Merchants!$A$2:$D$41,4,FALSE),"Merchant not found")</f>
        <v>East</v>
      </c>
      <c r="L254" s="11" t="str">
        <f t="shared" si="3"/>
        <v>Standard</v>
      </c>
    </row>
    <row r="255" spans="1:12" x14ac:dyDescent="0.3">
      <c r="A255" s="5" t="s">
        <v>578</v>
      </c>
      <c r="B255" s="4">
        <v>159</v>
      </c>
      <c r="C255" s="4">
        <v>36</v>
      </c>
      <c r="D255" s="4" t="s">
        <v>579</v>
      </c>
      <c r="E255" s="4">
        <v>49</v>
      </c>
      <c r="F255" s="5" t="s">
        <v>73</v>
      </c>
      <c r="G255" s="5" t="s">
        <v>70</v>
      </c>
      <c r="H255" s="4">
        <v>48</v>
      </c>
      <c r="I255" s="12" t="str">
        <f>IFERROR(VLOOKUP($C255,Merchants!$A$2:$D$41,2,FALSE),"Merchant not found")</f>
        <v>Merchant_036</v>
      </c>
      <c r="J255" s="12" t="str">
        <f>IFERROR(VLOOKUP($C255,Merchants!$A$2:$D$41,3,FALSE),"Merchant not found")</f>
        <v>entertainment</v>
      </c>
      <c r="K255" s="12" t="str">
        <f>IFERROR(VLOOKUP($C255,Merchants!$A$2:$D$41,4,FALSE),"Merchant not found")</f>
        <v>East</v>
      </c>
      <c r="L255" s="13" t="str">
        <f t="shared" si="3"/>
        <v>Standard</v>
      </c>
    </row>
    <row r="256" spans="1:12" x14ac:dyDescent="0.3">
      <c r="A256" s="3" t="s">
        <v>580</v>
      </c>
      <c r="B256" s="2">
        <v>66</v>
      </c>
      <c r="C256" s="2">
        <v>34</v>
      </c>
      <c r="D256" s="2" t="s">
        <v>581</v>
      </c>
      <c r="E256" s="2">
        <v>799</v>
      </c>
      <c r="F256" s="3" t="s">
        <v>73</v>
      </c>
      <c r="G256" s="3" t="s">
        <v>70</v>
      </c>
      <c r="H256" s="2">
        <v>11</v>
      </c>
      <c r="I256" s="10" t="str">
        <f>IFERROR(VLOOKUP($C256,Merchants!$A$2:$D$41,2,FALSE),"Merchant not found")</f>
        <v>Merchant_034</v>
      </c>
      <c r="J256" s="10" t="str">
        <f>IFERROR(VLOOKUP($C256,Merchants!$A$2:$D$41,3,FALSE),"Merchant not found")</f>
        <v>travel</v>
      </c>
      <c r="K256" s="10" t="str">
        <f>IFERROR(VLOOKUP($C256,Merchants!$A$2:$D$41,4,FALSE),"Merchant not found")</f>
        <v>South</v>
      </c>
      <c r="L256" s="11" t="str">
        <f t="shared" si="3"/>
        <v>Standard</v>
      </c>
    </row>
    <row r="257" spans="1:12" x14ac:dyDescent="0.3">
      <c r="A257" s="5" t="s">
        <v>582</v>
      </c>
      <c r="B257" s="4">
        <v>261</v>
      </c>
      <c r="C257" s="4">
        <v>24</v>
      </c>
      <c r="D257" s="4" t="s">
        <v>583</v>
      </c>
      <c r="E257" s="4">
        <v>799</v>
      </c>
      <c r="F257" s="5" t="s">
        <v>95</v>
      </c>
      <c r="G257" s="5" t="s">
        <v>70</v>
      </c>
      <c r="H257" s="4">
        <v>2</v>
      </c>
      <c r="I257" s="12" t="str">
        <f>IFERROR(VLOOKUP($C257,Merchants!$A$2:$D$41,2,FALSE),"Merchant not found")</f>
        <v>Merchant_024</v>
      </c>
      <c r="J257" s="12" t="str">
        <f>IFERROR(VLOOKUP($C257,Merchants!$A$2:$D$41,3,FALSE),"Merchant not found")</f>
        <v>grocery</v>
      </c>
      <c r="K257" s="12" t="str">
        <f>IFERROR(VLOOKUP($C257,Merchants!$A$2:$D$41,4,FALSE),"Merchant not found")</f>
        <v>North</v>
      </c>
      <c r="L257" s="13" t="str">
        <f t="shared" si="3"/>
        <v>Standard</v>
      </c>
    </row>
    <row r="258" spans="1:12" x14ac:dyDescent="0.3">
      <c r="A258" s="3" t="s">
        <v>584</v>
      </c>
      <c r="B258" s="2">
        <v>110</v>
      </c>
      <c r="C258" s="2">
        <v>22</v>
      </c>
      <c r="D258" s="2" t="s">
        <v>585</v>
      </c>
      <c r="E258" s="2">
        <v>799</v>
      </c>
      <c r="F258" s="3" t="s">
        <v>73</v>
      </c>
      <c r="G258" s="3" t="s">
        <v>70</v>
      </c>
      <c r="H258" s="2">
        <v>98</v>
      </c>
      <c r="I258" s="10" t="str">
        <f>IFERROR(VLOOKUP($C258,Merchants!$A$2:$D$41,2,FALSE),"Merchant not found")</f>
        <v>Merchant_022</v>
      </c>
      <c r="J258" s="10" t="str">
        <f>IFERROR(VLOOKUP($C258,Merchants!$A$2:$D$41,3,FALSE),"Merchant not found")</f>
        <v>travel</v>
      </c>
      <c r="K258" s="10" t="str">
        <f>IFERROR(VLOOKUP($C258,Merchants!$A$2:$D$41,4,FALSE),"Merchant not found")</f>
        <v>South</v>
      </c>
      <c r="L258" s="11" t="str">
        <f t="shared" ref="L258:L321" si="4">IF(AND(SUMPRODUCT(($C$2:$C$548=$C258)*(LEFT($D$2:$D$548,10)=LEFT($D258,10))*$E$2:$E$548)&gt;5000,$K258&lt;&gt;"East"),"High-Value Merchant Day","Standard")</f>
        <v>Standard</v>
      </c>
    </row>
    <row r="259" spans="1:12" x14ac:dyDescent="0.3">
      <c r="A259" s="5" t="s">
        <v>586</v>
      </c>
      <c r="B259" s="4">
        <v>71</v>
      </c>
      <c r="C259" s="4">
        <v>10</v>
      </c>
      <c r="D259" s="4" t="s">
        <v>587</v>
      </c>
      <c r="E259" s="4">
        <v>49</v>
      </c>
      <c r="F259" s="5" t="s">
        <v>73</v>
      </c>
      <c r="G259" s="5" t="s">
        <v>70</v>
      </c>
      <c r="H259" s="4">
        <v>9</v>
      </c>
      <c r="I259" s="12" t="str">
        <f>IFERROR(VLOOKUP($C259,Merchants!$A$2:$D$41,2,FALSE),"Merchant not found")</f>
        <v>Merchant_010</v>
      </c>
      <c r="J259" s="12" t="str">
        <f>IFERROR(VLOOKUP($C259,Merchants!$A$2:$D$41,3,FALSE),"Merchant not found")</f>
        <v>grocery</v>
      </c>
      <c r="K259" s="12" t="str">
        <f>IFERROR(VLOOKUP($C259,Merchants!$A$2:$D$41,4,FALSE),"Merchant not found")</f>
        <v>West</v>
      </c>
      <c r="L259" s="13" t="str">
        <f t="shared" si="4"/>
        <v>Standard</v>
      </c>
    </row>
    <row r="260" spans="1:12" x14ac:dyDescent="0.3">
      <c r="A260" s="3" t="s">
        <v>588</v>
      </c>
      <c r="B260" s="2">
        <v>277</v>
      </c>
      <c r="C260" s="2">
        <v>34</v>
      </c>
      <c r="D260" s="2" t="s">
        <v>589</v>
      </c>
      <c r="E260" s="2">
        <v>49</v>
      </c>
      <c r="F260" s="3" t="s">
        <v>73</v>
      </c>
      <c r="G260" s="3" t="s">
        <v>70</v>
      </c>
      <c r="H260" s="2">
        <v>4</v>
      </c>
      <c r="I260" s="10" t="str">
        <f>IFERROR(VLOOKUP($C260,Merchants!$A$2:$D$41,2,FALSE),"Merchant not found")</f>
        <v>Merchant_034</v>
      </c>
      <c r="J260" s="10" t="str">
        <f>IFERROR(VLOOKUP($C260,Merchants!$A$2:$D$41,3,FALSE),"Merchant not found")</f>
        <v>travel</v>
      </c>
      <c r="K260" s="10" t="str">
        <f>IFERROR(VLOOKUP($C260,Merchants!$A$2:$D$41,4,FALSE),"Merchant not found")</f>
        <v>South</v>
      </c>
      <c r="L260" s="11" t="str">
        <f t="shared" si="4"/>
        <v>Standard</v>
      </c>
    </row>
    <row r="261" spans="1:12" x14ac:dyDescent="0.3">
      <c r="A261" s="5" t="s">
        <v>590</v>
      </c>
      <c r="B261" s="4">
        <v>317</v>
      </c>
      <c r="C261" s="4">
        <v>9</v>
      </c>
      <c r="D261" s="4" t="s">
        <v>591</v>
      </c>
      <c r="E261" s="4">
        <v>499</v>
      </c>
      <c r="F261" s="5" t="s">
        <v>69</v>
      </c>
      <c r="G261" s="5" t="s">
        <v>70</v>
      </c>
      <c r="H261" s="4">
        <v>76</v>
      </c>
      <c r="I261" s="12" t="str">
        <f>IFERROR(VLOOKUP($C261,Merchants!$A$2:$D$41,2,FALSE),"Merchant not found")</f>
        <v>Merchant_009</v>
      </c>
      <c r="J261" s="12" t="str">
        <f>IFERROR(VLOOKUP($C261,Merchants!$A$2:$D$41,3,FALSE),"Merchant not found")</f>
        <v>ecommerce</v>
      </c>
      <c r="K261" s="12" t="str">
        <f>IFERROR(VLOOKUP($C261,Merchants!$A$2:$D$41,4,FALSE),"Merchant not found")</f>
        <v>North</v>
      </c>
      <c r="L261" s="13" t="str">
        <f t="shared" si="4"/>
        <v>Standard</v>
      </c>
    </row>
    <row r="262" spans="1:12" x14ac:dyDescent="0.3">
      <c r="A262" s="3" t="s">
        <v>592</v>
      </c>
      <c r="B262" s="2">
        <v>93</v>
      </c>
      <c r="C262" s="2">
        <v>40</v>
      </c>
      <c r="D262" s="2" t="s">
        <v>593</v>
      </c>
      <c r="E262" s="2">
        <v>299</v>
      </c>
      <c r="F262" s="3" t="s">
        <v>73</v>
      </c>
      <c r="G262" s="3" t="s">
        <v>70</v>
      </c>
      <c r="H262" s="2">
        <v>21</v>
      </c>
      <c r="I262" s="10" t="str">
        <f>IFERROR(VLOOKUP($C262,Merchants!$A$2:$D$41,2,FALSE),"Merchant not found")</f>
        <v>Merchant_040</v>
      </c>
      <c r="J262" s="10" t="str">
        <f>IFERROR(VLOOKUP($C262,Merchants!$A$2:$D$41,3,FALSE),"Merchant not found")</f>
        <v>entertainment</v>
      </c>
      <c r="K262" s="10" t="str">
        <f>IFERROR(VLOOKUP($C262,Merchants!$A$2:$D$41,4,FALSE),"Merchant not found")</f>
        <v>South</v>
      </c>
      <c r="L262" s="11" t="str">
        <f t="shared" si="4"/>
        <v>Standard</v>
      </c>
    </row>
    <row r="263" spans="1:12" x14ac:dyDescent="0.3">
      <c r="A263" s="5" t="s">
        <v>594</v>
      </c>
      <c r="B263" s="4">
        <v>211</v>
      </c>
      <c r="C263" s="4">
        <v>24</v>
      </c>
      <c r="D263" s="4" t="s">
        <v>595</v>
      </c>
      <c r="E263" s="4">
        <v>99</v>
      </c>
      <c r="F263" s="5" t="s">
        <v>78</v>
      </c>
      <c r="G263" s="5" t="s">
        <v>70</v>
      </c>
      <c r="H263" s="4">
        <v>86</v>
      </c>
      <c r="I263" s="12" t="str">
        <f>IFERROR(VLOOKUP($C263,Merchants!$A$2:$D$41,2,FALSE),"Merchant not found")</f>
        <v>Merchant_024</v>
      </c>
      <c r="J263" s="12" t="str">
        <f>IFERROR(VLOOKUP($C263,Merchants!$A$2:$D$41,3,FALSE),"Merchant not found")</f>
        <v>grocery</v>
      </c>
      <c r="K263" s="12" t="str">
        <f>IFERROR(VLOOKUP($C263,Merchants!$A$2:$D$41,4,FALSE),"Merchant not found")</f>
        <v>North</v>
      </c>
      <c r="L263" s="13" t="str">
        <f t="shared" si="4"/>
        <v>Standard</v>
      </c>
    </row>
    <row r="264" spans="1:12" x14ac:dyDescent="0.3">
      <c r="A264" s="3" t="s">
        <v>596</v>
      </c>
      <c r="B264" s="2">
        <v>313</v>
      </c>
      <c r="C264" s="2">
        <v>19</v>
      </c>
      <c r="D264" s="2" t="s">
        <v>597</v>
      </c>
      <c r="E264" s="2">
        <v>149</v>
      </c>
      <c r="F264" s="3" t="s">
        <v>73</v>
      </c>
      <c r="G264" s="3" t="s">
        <v>70</v>
      </c>
      <c r="H264" s="2">
        <v>96</v>
      </c>
      <c r="I264" s="10" t="str">
        <f>IFERROR(VLOOKUP($C264,Merchants!$A$2:$D$41,2,FALSE),"Merchant not found")</f>
        <v>Merchant_019</v>
      </c>
      <c r="J264" s="10" t="str">
        <f>IFERROR(VLOOKUP($C264,Merchants!$A$2:$D$41,3,FALSE),"Merchant not found")</f>
        <v>grocery</v>
      </c>
      <c r="K264" s="10" t="str">
        <f>IFERROR(VLOOKUP($C264,Merchants!$A$2:$D$41,4,FALSE),"Merchant not found")</f>
        <v>North</v>
      </c>
      <c r="L264" s="11" t="str">
        <f t="shared" si="4"/>
        <v>Standard</v>
      </c>
    </row>
    <row r="265" spans="1:12" x14ac:dyDescent="0.3">
      <c r="A265" s="5" t="s">
        <v>598</v>
      </c>
      <c r="B265" s="4">
        <v>274</v>
      </c>
      <c r="C265" s="4">
        <v>16</v>
      </c>
      <c r="D265" s="4" t="s">
        <v>599</v>
      </c>
      <c r="E265" s="4">
        <v>49</v>
      </c>
      <c r="F265" s="5" t="s">
        <v>69</v>
      </c>
      <c r="G265" s="5" t="s">
        <v>96</v>
      </c>
      <c r="H265" s="4">
        <v>39</v>
      </c>
      <c r="I265" s="12" t="str">
        <f>IFERROR(VLOOKUP($C265,Merchants!$A$2:$D$41,2,FALSE),"Merchant not found")</f>
        <v>Merchant_016</v>
      </c>
      <c r="J265" s="12" t="str">
        <f>IFERROR(VLOOKUP($C265,Merchants!$A$2:$D$41,3,FALSE),"Merchant not found")</f>
        <v>bill_payment</v>
      </c>
      <c r="K265" s="12" t="str">
        <f>IFERROR(VLOOKUP($C265,Merchants!$A$2:$D$41,4,FALSE),"Merchant not found")</f>
        <v>West</v>
      </c>
      <c r="L265" s="13" t="str">
        <f t="shared" si="4"/>
        <v>Standard</v>
      </c>
    </row>
    <row r="266" spans="1:12" x14ac:dyDescent="0.3">
      <c r="A266" s="3" t="s">
        <v>600</v>
      </c>
      <c r="B266" s="2">
        <v>100</v>
      </c>
      <c r="C266" s="2">
        <v>24</v>
      </c>
      <c r="D266" s="2" t="s">
        <v>601</v>
      </c>
      <c r="E266" s="2">
        <v>299</v>
      </c>
      <c r="F266" s="3" t="s">
        <v>73</v>
      </c>
      <c r="G266" s="3" t="s">
        <v>70</v>
      </c>
      <c r="H266" s="2">
        <v>86</v>
      </c>
      <c r="I266" s="10" t="str">
        <f>IFERROR(VLOOKUP($C266,Merchants!$A$2:$D$41,2,FALSE),"Merchant not found")</f>
        <v>Merchant_024</v>
      </c>
      <c r="J266" s="10" t="str">
        <f>IFERROR(VLOOKUP($C266,Merchants!$A$2:$D$41,3,FALSE),"Merchant not found")</f>
        <v>grocery</v>
      </c>
      <c r="K266" s="10" t="str">
        <f>IFERROR(VLOOKUP($C266,Merchants!$A$2:$D$41,4,FALSE),"Merchant not found")</f>
        <v>North</v>
      </c>
      <c r="L266" s="11" t="str">
        <f t="shared" si="4"/>
        <v>Standard</v>
      </c>
    </row>
    <row r="267" spans="1:12" x14ac:dyDescent="0.3">
      <c r="A267" s="5" t="s">
        <v>602</v>
      </c>
      <c r="B267" s="4">
        <v>145</v>
      </c>
      <c r="C267" s="4">
        <v>25</v>
      </c>
      <c r="D267" s="4" t="s">
        <v>603</v>
      </c>
      <c r="E267" s="4">
        <v>2999</v>
      </c>
      <c r="F267" s="5" t="s">
        <v>69</v>
      </c>
      <c r="G267" s="5" t="s">
        <v>70</v>
      </c>
      <c r="H267" s="4">
        <v>64</v>
      </c>
      <c r="I267" s="12" t="str">
        <f>IFERROR(VLOOKUP($C267,Merchants!$A$2:$D$41,2,FALSE),"Merchant not found")</f>
        <v>Merchant_025</v>
      </c>
      <c r="J267" s="12" t="str">
        <f>IFERROR(VLOOKUP($C267,Merchants!$A$2:$D$41,3,FALSE),"Merchant not found")</f>
        <v>travel</v>
      </c>
      <c r="K267" s="12" t="str">
        <f>IFERROR(VLOOKUP($C267,Merchants!$A$2:$D$41,4,FALSE),"Merchant not found")</f>
        <v>South</v>
      </c>
      <c r="L267" s="13" t="str">
        <f t="shared" si="4"/>
        <v>Standard</v>
      </c>
    </row>
    <row r="268" spans="1:12" x14ac:dyDescent="0.3">
      <c r="A268" s="3" t="s">
        <v>604</v>
      </c>
      <c r="B268" s="2">
        <v>103</v>
      </c>
      <c r="C268" s="2">
        <v>39</v>
      </c>
      <c r="D268" s="2" t="s">
        <v>605</v>
      </c>
      <c r="E268" s="2">
        <v>2999</v>
      </c>
      <c r="F268" s="3" t="s">
        <v>69</v>
      </c>
      <c r="G268" s="3" t="s">
        <v>70</v>
      </c>
      <c r="H268" s="2">
        <v>17</v>
      </c>
      <c r="I268" s="10" t="str">
        <f>IFERROR(VLOOKUP($C268,Merchants!$A$2:$D$41,2,FALSE),"Merchant not found")</f>
        <v>Merchant_039</v>
      </c>
      <c r="J268" s="10" t="str">
        <f>IFERROR(VLOOKUP($C268,Merchants!$A$2:$D$41,3,FALSE),"Merchant not found")</f>
        <v>entertainment</v>
      </c>
      <c r="K268" s="10" t="str">
        <f>IFERROR(VLOOKUP($C268,Merchants!$A$2:$D$41,4,FALSE),"Merchant not found")</f>
        <v>North</v>
      </c>
      <c r="L268" s="11" t="str">
        <f t="shared" si="4"/>
        <v>Standard</v>
      </c>
    </row>
    <row r="269" spans="1:12" x14ac:dyDescent="0.3">
      <c r="A269" s="5" t="s">
        <v>606</v>
      </c>
      <c r="B269" s="4">
        <v>329</v>
      </c>
      <c r="C269" s="4">
        <v>31</v>
      </c>
      <c r="D269" s="4" t="s">
        <v>607</v>
      </c>
      <c r="E269" s="4">
        <v>299</v>
      </c>
      <c r="F269" s="5" t="s">
        <v>69</v>
      </c>
      <c r="G269" s="5" t="s">
        <v>70</v>
      </c>
      <c r="H269" s="4">
        <v>47</v>
      </c>
      <c r="I269" s="12" t="str">
        <f>IFERROR(VLOOKUP($C269,Merchants!$A$2:$D$41,2,FALSE),"Merchant not found")</f>
        <v>Merchant_031</v>
      </c>
      <c r="J269" s="12" t="str">
        <f>IFERROR(VLOOKUP($C269,Merchants!$A$2:$D$41,3,FALSE),"Merchant not found")</f>
        <v>bill_payment</v>
      </c>
      <c r="K269" s="12" t="str">
        <f>IFERROR(VLOOKUP($C269,Merchants!$A$2:$D$41,4,FALSE),"Merchant not found")</f>
        <v>East</v>
      </c>
      <c r="L269" s="13" t="str">
        <f t="shared" si="4"/>
        <v>Standard</v>
      </c>
    </row>
    <row r="270" spans="1:12" x14ac:dyDescent="0.3">
      <c r="A270" s="3" t="s">
        <v>608</v>
      </c>
      <c r="B270" s="2">
        <v>265</v>
      </c>
      <c r="C270" s="2">
        <v>8</v>
      </c>
      <c r="D270" s="2" t="s">
        <v>609</v>
      </c>
      <c r="E270" s="2">
        <v>499</v>
      </c>
      <c r="F270" s="3" t="s">
        <v>78</v>
      </c>
      <c r="G270" s="3" t="s">
        <v>70</v>
      </c>
      <c r="H270" s="2">
        <v>36</v>
      </c>
      <c r="I270" s="10" t="str">
        <f>IFERROR(VLOOKUP($C270,Merchants!$A$2:$D$41,2,FALSE),"Merchant not found")</f>
        <v>Merchant_008</v>
      </c>
      <c r="J270" s="10" t="str">
        <f>IFERROR(VLOOKUP($C270,Merchants!$A$2:$D$41,3,FALSE),"Merchant not found")</f>
        <v>food_delivery</v>
      </c>
      <c r="K270" s="10" t="str">
        <f>IFERROR(VLOOKUP($C270,Merchants!$A$2:$D$41,4,FALSE),"Merchant not found")</f>
        <v>North</v>
      </c>
      <c r="L270" s="11" t="str">
        <f t="shared" si="4"/>
        <v>Standard</v>
      </c>
    </row>
    <row r="271" spans="1:12" x14ac:dyDescent="0.3">
      <c r="A271" s="5" t="s">
        <v>610</v>
      </c>
      <c r="B271" s="4">
        <v>231</v>
      </c>
      <c r="C271" s="4">
        <v>33</v>
      </c>
      <c r="D271" s="4" t="s">
        <v>611</v>
      </c>
      <c r="E271" s="4">
        <v>149</v>
      </c>
      <c r="F271" s="5" t="s">
        <v>73</v>
      </c>
      <c r="G271" s="5" t="s">
        <v>96</v>
      </c>
      <c r="H271" s="4">
        <v>18</v>
      </c>
      <c r="I271" s="12" t="str">
        <f>IFERROR(VLOOKUP($C271,Merchants!$A$2:$D$41,2,FALSE),"Merchant not found")</f>
        <v>Merchant_033</v>
      </c>
      <c r="J271" s="12" t="str">
        <f>IFERROR(VLOOKUP($C271,Merchants!$A$2:$D$41,3,FALSE),"Merchant not found")</f>
        <v>bill_payment</v>
      </c>
      <c r="K271" s="12" t="str">
        <f>IFERROR(VLOOKUP($C271,Merchants!$A$2:$D$41,4,FALSE),"Merchant not found")</f>
        <v>East</v>
      </c>
      <c r="L271" s="13" t="str">
        <f t="shared" si="4"/>
        <v>Standard</v>
      </c>
    </row>
    <row r="272" spans="1:12" x14ac:dyDescent="0.3">
      <c r="A272" s="3" t="s">
        <v>612</v>
      </c>
      <c r="B272" s="2">
        <v>114</v>
      </c>
      <c r="C272" s="2">
        <v>29</v>
      </c>
      <c r="D272" s="2" t="s">
        <v>613</v>
      </c>
      <c r="E272" s="2">
        <v>799</v>
      </c>
      <c r="F272" s="3" t="s">
        <v>73</v>
      </c>
      <c r="G272" s="3" t="s">
        <v>121</v>
      </c>
      <c r="H272" s="2">
        <v>44</v>
      </c>
      <c r="I272" s="10" t="str">
        <f>IFERROR(VLOOKUP($C272,Merchants!$A$2:$D$41,2,FALSE),"Merchant not found")</f>
        <v>Merchant_029</v>
      </c>
      <c r="J272" s="10" t="str">
        <f>IFERROR(VLOOKUP($C272,Merchants!$A$2:$D$41,3,FALSE),"Merchant not found")</f>
        <v>ecommerce</v>
      </c>
      <c r="K272" s="10" t="str">
        <f>IFERROR(VLOOKUP($C272,Merchants!$A$2:$D$41,4,FALSE),"Merchant not found")</f>
        <v>North</v>
      </c>
      <c r="L272" s="11" t="str">
        <f t="shared" si="4"/>
        <v>Standard</v>
      </c>
    </row>
    <row r="273" spans="1:12" x14ac:dyDescent="0.3">
      <c r="A273" s="5" t="s">
        <v>614</v>
      </c>
      <c r="B273" s="4">
        <v>28</v>
      </c>
      <c r="C273" s="4">
        <v>26</v>
      </c>
      <c r="D273" s="4" t="s">
        <v>615</v>
      </c>
      <c r="E273" s="4">
        <v>1499</v>
      </c>
      <c r="F273" s="5" t="s">
        <v>73</v>
      </c>
      <c r="G273" s="5" t="s">
        <v>96</v>
      </c>
      <c r="H273" s="4">
        <v>64</v>
      </c>
      <c r="I273" s="12" t="str">
        <f>IFERROR(VLOOKUP($C273,Merchants!$A$2:$D$41,2,FALSE),"Merchant not found")</f>
        <v>Merchant_026</v>
      </c>
      <c r="J273" s="12" t="str">
        <f>IFERROR(VLOOKUP($C273,Merchants!$A$2:$D$41,3,FALSE),"Merchant not found")</f>
        <v>food_delivery</v>
      </c>
      <c r="K273" s="12" t="str">
        <f>IFERROR(VLOOKUP($C273,Merchants!$A$2:$D$41,4,FALSE),"Merchant not found")</f>
        <v>East</v>
      </c>
      <c r="L273" s="13" t="str">
        <f t="shared" si="4"/>
        <v>Standard</v>
      </c>
    </row>
    <row r="274" spans="1:12" x14ac:dyDescent="0.3">
      <c r="A274" s="3" t="s">
        <v>616</v>
      </c>
      <c r="B274" s="2">
        <v>42</v>
      </c>
      <c r="C274" s="2">
        <v>24</v>
      </c>
      <c r="D274" s="2" t="s">
        <v>617</v>
      </c>
      <c r="E274" s="2">
        <v>149</v>
      </c>
      <c r="F274" s="3" t="s">
        <v>73</v>
      </c>
      <c r="G274" s="3" t="s">
        <v>70</v>
      </c>
      <c r="H274" s="2">
        <v>28</v>
      </c>
      <c r="I274" s="10" t="str">
        <f>IFERROR(VLOOKUP($C274,Merchants!$A$2:$D$41,2,FALSE),"Merchant not found")</f>
        <v>Merchant_024</v>
      </c>
      <c r="J274" s="10" t="str">
        <f>IFERROR(VLOOKUP($C274,Merchants!$A$2:$D$41,3,FALSE),"Merchant not found")</f>
        <v>grocery</v>
      </c>
      <c r="K274" s="10" t="str">
        <f>IFERROR(VLOOKUP($C274,Merchants!$A$2:$D$41,4,FALSE),"Merchant not found")</f>
        <v>North</v>
      </c>
      <c r="L274" s="11" t="str">
        <f t="shared" si="4"/>
        <v>Standard</v>
      </c>
    </row>
    <row r="275" spans="1:12" x14ac:dyDescent="0.3">
      <c r="A275" s="5" t="s">
        <v>618</v>
      </c>
      <c r="B275" s="4">
        <v>51</v>
      </c>
      <c r="C275" s="4">
        <v>22</v>
      </c>
      <c r="D275" s="4" t="s">
        <v>619</v>
      </c>
      <c r="E275" s="4">
        <v>799</v>
      </c>
      <c r="F275" s="5" t="s">
        <v>73</v>
      </c>
      <c r="G275" s="5" t="s">
        <v>70</v>
      </c>
      <c r="H275" s="4">
        <v>18</v>
      </c>
      <c r="I275" s="12" t="str">
        <f>IFERROR(VLOOKUP($C275,Merchants!$A$2:$D$41,2,FALSE),"Merchant not found")</f>
        <v>Merchant_022</v>
      </c>
      <c r="J275" s="12" t="str">
        <f>IFERROR(VLOOKUP($C275,Merchants!$A$2:$D$41,3,FALSE),"Merchant not found")</f>
        <v>travel</v>
      </c>
      <c r="K275" s="12" t="str">
        <f>IFERROR(VLOOKUP($C275,Merchants!$A$2:$D$41,4,FALSE),"Merchant not found")</f>
        <v>South</v>
      </c>
      <c r="L275" s="13" t="str">
        <f t="shared" si="4"/>
        <v>Standard</v>
      </c>
    </row>
    <row r="276" spans="1:12" x14ac:dyDescent="0.3">
      <c r="A276" s="3" t="s">
        <v>620</v>
      </c>
      <c r="B276" s="2">
        <v>242</v>
      </c>
      <c r="C276" s="2">
        <v>9</v>
      </c>
      <c r="D276" s="2" t="s">
        <v>621</v>
      </c>
      <c r="E276" s="2">
        <v>149</v>
      </c>
      <c r="F276" s="3" t="s">
        <v>73</v>
      </c>
      <c r="G276" s="3" t="s">
        <v>70</v>
      </c>
      <c r="H276" s="2">
        <v>97</v>
      </c>
      <c r="I276" s="10" t="str">
        <f>IFERROR(VLOOKUP($C276,Merchants!$A$2:$D$41,2,FALSE),"Merchant not found")</f>
        <v>Merchant_009</v>
      </c>
      <c r="J276" s="10" t="str">
        <f>IFERROR(VLOOKUP($C276,Merchants!$A$2:$D$41,3,FALSE),"Merchant not found")</f>
        <v>ecommerce</v>
      </c>
      <c r="K276" s="10" t="str">
        <f>IFERROR(VLOOKUP($C276,Merchants!$A$2:$D$41,4,FALSE),"Merchant not found")</f>
        <v>North</v>
      </c>
      <c r="L276" s="11" t="str">
        <f t="shared" si="4"/>
        <v>Standard</v>
      </c>
    </row>
    <row r="277" spans="1:12" x14ac:dyDescent="0.3">
      <c r="A277" s="5" t="s">
        <v>622</v>
      </c>
      <c r="B277" s="4">
        <v>316</v>
      </c>
      <c r="C277" s="4">
        <v>1</v>
      </c>
      <c r="D277" s="4" t="s">
        <v>623</v>
      </c>
      <c r="E277" s="4">
        <v>149</v>
      </c>
      <c r="F277" s="5" t="s">
        <v>73</v>
      </c>
      <c r="G277" s="5" t="s">
        <v>70</v>
      </c>
      <c r="H277" s="4">
        <v>10</v>
      </c>
      <c r="I277" s="12" t="str">
        <f>IFERROR(VLOOKUP($C277,Merchants!$A$2:$D$41,2,FALSE),"Merchant not found")</f>
        <v>Merchant_001</v>
      </c>
      <c r="J277" s="12" t="str">
        <f>IFERROR(VLOOKUP($C277,Merchants!$A$2:$D$41,3,FALSE),"Merchant not found")</f>
        <v>ecommerce</v>
      </c>
      <c r="K277" s="12" t="str">
        <f>IFERROR(VLOOKUP($C277,Merchants!$A$2:$D$41,4,FALSE),"Merchant not found")</f>
        <v>South</v>
      </c>
      <c r="L277" s="13" t="str">
        <f t="shared" si="4"/>
        <v>Standard</v>
      </c>
    </row>
    <row r="278" spans="1:12" x14ac:dyDescent="0.3">
      <c r="A278" s="3" t="s">
        <v>624</v>
      </c>
      <c r="B278" s="2">
        <v>77</v>
      </c>
      <c r="C278" s="2">
        <v>36</v>
      </c>
      <c r="D278" s="2" t="s">
        <v>625</v>
      </c>
      <c r="E278" s="2">
        <v>149</v>
      </c>
      <c r="F278" s="3" t="s">
        <v>73</v>
      </c>
      <c r="G278" s="3" t="s">
        <v>70</v>
      </c>
      <c r="H278" s="2">
        <v>93</v>
      </c>
      <c r="I278" s="10" t="str">
        <f>IFERROR(VLOOKUP($C278,Merchants!$A$2:$D$41,2,FALSE),"Merchant not found")</f>
        <v>Merchant_036</v>
      </c>
      <c r="J278" s="10" t="str">
        <f>IFERROR(VLOOKUP($C278,Merchants!$A$2:$D$41,3,FALSE),"Merchant not found")</f>
        <v>entertainment</v>
      </c>
      <c r="K278" s="10" t="str">
        <f>IFERROR(VLOOKUP($C278,Merchants!$A$2:$D$41,4,FALSE),"Merchant not found")</f>
        <v>East</v>
      </c>
      <c r="L278" s="11" t="str">
        <f t="shared" si="4"/>
        <v>Standard</v>
      </c>
    </row>
    <row r="279" spans="1:12" x14ac:dyDescent="0.3">
      <c r="A279" s="5" t="s">
        <v>626</v>
      </c>
      <c r="B279" s="4">
        <v>57</v>
      </c>
      <c r="C279" s="4">
        <v>19</v>
      </c>
      <c r="D279" s="4" t="s">
        <v>627</v>
      </c>
      <c r="E279" s="4">
        <v>49</v>
      </c>
      <c r="F279" s="5" t="s">
        <v>73</v>
      </c>
      <c r="G279" s="5" t="s">
        <v>70</v>
      </c>
      <c r="H279" s="4">
        <v>30</v>
      </c>
      <c r="I279" s="12" t="str">
        <f>IFERROR(VLOOKUP($C279,Merchants!$A$2:$D$41,2,FALSE),"Merchant not found")</f>
        <v>Merchant_019</v>
      </c>
      <c r="J279" s="12" t="str">
        <f>IFERROR(VLOOKUP($C279,Merchants!$A$2:$D$41,3,FALSE),"Merchant not found")</f>
        <v>grocery</v>
      </c>
      <c r="K279" s="12" t="str">
        <f>IFERROR(VLOOKUP($C279,Merchants!$A$2:$D$41,4,FALSE),"Merchant not found")</f>
        <v>North</v>
      </c>
      <c r="L279" s="13" t="str">
        <f t="shared" si="4"/>
        <v>Standard</v>
      </c>
    </row>
    <row r="280" spans="1:12" x14ac:dyDescent="0.3">
      <c r="A280" s="3" t="s">
        <v>628</v>
      </c>
      <c r="B280" s="2">
        <v>123</v>
      </c>
      <c r="C280" s="2">
        <v>27</v>
      </c>
      <c r="D280" s="2" t="s">
        <v>629</v>
      </c>
      <c r="E280" s="2">
        <v>149</v>
      </c>
      <c r="F280" s="3" t="s">
        <v>78</v>
      </c>
      <c r="G280" s="3" t="s">
        <v>70</v>
      </c>
      <c r="H280" s="2">
        <v>81</v>
      </c>
      <c r="I280" s="10" t="str">
        <f>IFERROR(VLOOKUP($C280,Merchants!$A$2:$D$41,2,FALSE),"Merchant not found")</f>
        <v>Merchant_027</v>
      </c>
      <c r="J280" s="10" t="str">
        <f>IFERROR(VLOOKUP($C280,Merchants!$A$2:$D$41,3,FALSE),"Merchant not found")</f>
        <v>ecommerce</v>
      </c>
      <c r="K280" s="10" t="str">
        <f>IFERROR(VLOOKUP($C280,Merchants!$A$2:$D$41,4,FALSE),"Merchant not found")</f>
        <v>North</v>
      </c>
      <c r="L280" s="11" t="str">
        <f t="shared" si="4"/>
        <v>Standard</v>
      </c>
    </row>
    <row r="281" spans="1:12" x14ac:dyDescent="0.3">
      <c r="A281" s="5" t="s">
        <v>630</v>
      </c>
      <c r="B281" s="4">
        <v>33</v>
      </c>
      <c r="C281" s="4">
        <v>8</v>
      </c>
      <c r="D281" s="4" t="s">
        <v>631</v>
      </c>
      <c r="E281" s="4">
        <v>299</v>
      </c>
      <c r="F281" s="5" t="s">
        <v>69</v>
      </c>
      <c r="G281" s="5" t="s">
        <v>70</v>
      </c>
      <c r="H281" s="4">
        <v>63</v>
      </c>
      <c r="I281" s="12" t="str">
        <f>IFERROR(VLOOKUP($C281,Merchants!$A$2:$D$41,2,FALSE),"Merchant not found")</f>
        <v>Merchant_008</v>
      </c>
      <c r="J281" s="12" t="str">
        <f>IFERROR(VLOOKUP($C281,Merchants!$A$2:$D$41,3,FALSE),"Merchant not found")</f>
        <v>food_delivery</v>
      </c>
      <c r="K281" s="12" t="str">
        <f>IFERROR(VLOOKUP($C281,Merchants!$A$2:$D$41,4,FALSE),"Merchant not found")</f>
        <v>North</v>
      </c>
      <c r="L281" s="13" t="str">
        <f t="shared" si="4"/>
        <v>Standard</v>
      </c>
    </row>
    <row r="282" spans="1:12" x14ac:dyDescent="0.3">
      <c r="A282" s="3" t="s">
        <v>632</v>
      </c>
      <c r="B282" s="2">
        <v>324</v>
      </c>
      <c r="C282" s="2">
        <v>33</v>
      </c>
      <c r="D282" s="2" t="s">
        <v>633</v>
      </c>
      <c r="E282" s="2">
        <v>499</v>
      </c>
      <c r="F282" s="3" t="s">
        <v>73</v>
      </c>
      <c r="G282" s="3" t="s">
        <v>70</v>
      </c>
      <c r="H282" s="2">
        <v>73</v>
      </c>
      <c r="I282" s="10" t="str">
        <f>IFERROR(VLOOKUP($C282,Merchants!$A$2:$D$41,2,FALSE),"Merchant not found")</f>
        <v>Merchant_033</v>
      </c>
      <c r="J282" s="10" t="str">
        <f>IFERROR(VLOOKUP($C282,Merchants!$A$2:$D$41,3,FALSE),"Merchant not found")</f>
        <v>bill_payment</v>
      </c>
      <c r="K282" s="10" t="str">
        <f>IFERROR(VLOOKUP($C282,Merchants!$A$2:$D$41,4,FALSE),"Merchant not found")</f>
        <v>East</v>
      </c>
      <c r="L282" s="11" t="str">
        <f t="shared" si="4"/>
        <v>Standard</v>
      </c>
    </row>
    <row r="283" spans="1:12" x14ac:dyDescent="0.3">
      <c r="A283" s="5" t="s">
        <v>634</v>
      </c>
      <c r="B283" s="4">
        <v>150</v>
      </c>
      <c r="C283" s="4">
        <v>28</v>
      </c>
      <c r="D283" s="4" t="s">
        <v>635</v>
      </c>
      <c r="E283" s="4">
        <v>49</v>
      </c>
      <c r="F283" s="5" t="s">
        <v>73</v>
      </c>
      <c r="G283" s="5" t="s">
        <v>96</v>
      </c>
      <c r="H283" s="4">
        <v>0</v>
      </c>
      <c r="I283" s="12" t="str">
        <f>IFERROR(VLOOKUP($C283,Merchants!$A$2:$D$41,2,FALSE),"Merchant not found")</f>
        <v>Merchant_028</v>
      </c>
      <c r="J283" s="12" t="str">
        <f>IFERROR(VLOOKUP($C283,Merchants!$A$2:$D$41,3,FALSE),"Merchant not found")</f>
        <v>ecommerce</v>
      </c>
      <c r="K283" s="12" t="str">
        <f>IFERROR(VLOOKUP($C283,Merchants!$A$2:$D$41,4,FALSE),"Merchant not found")</f>
        <v>South</v>
      </c>
      <c r="L283" s="13" t="str">
        <f t="shared" si="4"/>
        <v>Standard</v>
      </c>
    </row>
    <row r="284" spans="1:12" x14ac:dyDescent="0.3">
      <c r="A284" s="3" t="s">
        <v>636</v>
      </c>
      <c r="B284" s="2">
        <v>293</v>
      </c>
      <c r="C284" s="2">
        <v>27</v>
      </c>
      <c r="D284" s="2" t="s">
        <v>637</v>
      </c>
      <c r="E284" s="2">
        <v>4999</v>
      </c>
      <c r="F284" s="3" t="s">
        <v>73</v>
      </c>
      <c r="G284" s="3" t="s">
        <v>70</v>
      </c>
      <c r="H284" s="2">
        <v>23</v>
      </c>
      <c r="I284" s="10" t="str">
        <f>IFERROR(VLOOKUP($C284,Merchants!$A$2:$D$41,2,FALSE),"Merchant not found")</f>
        <v>Merchant_027</v>
      </c>
      <c r="J284" s="10" t="str">
        <f>IFERROR(VLOOKUP($C284,Merchants!$A$2:$D$41,3,FALSE),"Merchant not found")</f>
        <v>ecommerce</v>
      </c>
      <c r="K284" s="10" t="str">
        <f>IFERROR(VLOOKUP($C284,Merchants!$A$2:$D$41,4,FALSE),"Merchant not found")</f>
        <v>North</v>
      </c>
      <c r="L284" s="11" t="str">
        <f t="shared" si="4"/>
        <v>Standard</v>
      </c>
    </row>
    <row r="285" spans="1:12" x14ac:dyDescent="0.3">
      <c r="A285" s="5" t="s">
        <v>638</v>
      </c>
      <c r="B285" s="4">
        <v>269</v>
      </c>
      <c r="C285" s="4">
        <v>24</v>
      </c>
      <c r="D285" s="4" t="s">
        <v>639</v>
      </c>
      <c r="E285" s="4">
        <v>49</v>
      </c>
      <c r="F285" s="5" t="s">
        <v>69</v>
      </c>
      <c r="G285" s="5" t="s">
        <v>70</v>
      </c>
      <c r="H285" s="4">
        <v>8</v>
      </c>
      <c r="I285" s="12" t="str">
        <f>IFERROR(VLOOKUP($C285,Merchants!$A$2:$D$41,2,FALSE),"Merchant not found")</f>
        <v>Merchant_024</v>
      </c>
      <c r="J285" s="12" t="str">
        <f>IFERROR(VLOOKUP($C285,Merchants!$A$2:$D$41,3,FALSE),"Merchant not found")</f>
        <v>grocery</v>
      </c>
      <c r="K285" s="12" t="str">
        <f>IFERROR(VLOOKUP($C285,Merchants!$A$2:$D$41,4,FALSE),"Merchant not found")</f>
        <v>North</v>
      </c>
      <c r="L285" s="13" t="str">
        <f t="shared" si="4"/>
        <v>Standard</v>
      </c>
    </row>
    <row r="286" spans="1:12" x14ac:dyDescent="0.3">
      <c r="A286" s="3" t="s">
        <v>640</v>
      </c>
      <c r="B286" s="2">
        <v>260</v>
      </c>
      <c r="C286" s="2">
        <v>36</v>
      </c>
      <c r="D286" s="2" t="s">
        <v>641</v>
      </c>
      <c r="E286" s="2">
        <v>1499</v>
      </c>
      <c r="F286" s="3" t="s">
        <v>73</v>
      </c>
      <c r="G286" s="3" t="s">
        <v>70</v>
      </c>
      <c r="H286" s="2">
        <v>2</v>
      </c>
      <c r="I286" s="10" t="str">
        <f>IFERROR(VLOOKUP($C286,Merchants!$A$2:$D$41,2,FALSE),"Merchant not found")</f>
        <v>Merchant_036</v>
      </c>
      <c r="J286" s="10" t="str">
        <f>IFERROR(VLOOKUP($C286,Merchants!$A$2:$D$41,3,FALSE),"Merchant not found")</f>
        <v>entertainment</v>
      </c>
      <c r="K286" s="10" t="str">
        <f>IFERROR(VLOOKUP($C286,Merchants!$A$2:$D$41,4,FALSE),"Merchant not found")</f>
        <v>East</v>
      </c>
      <c r="L286" s="11" t="str">
        <f t="shared" si="4"/>
        <v>Standard</v>
      </c>
    </row>
    <row r="287" spans="1:12" x14ac:dyDescent="0.3">
      <c r="A287" s="5" t="s">
        <v>642</v>
      </c>
      <c r="B287" s="4">
        <v>326</v>
      </c>
      <c r="C287" s="4">
        <v>25</v>
      </c>
      <c r="D287" s="4" t="s">
        <v>643</v>
      </c>
      <c r="E287" s="4">
        <v>49</v>
      </c>
      <c r="F287" s="5" t="s">
        <v>73</v>
      </c>
      <c r="G287" s="5" t="s">
        <v>70</v>
      </c>
      <c r="H287" s="4">
        <v>47</v>
      </c>
      <c r="I287" s="12" t="str">
        <f>IFERROR(VLOOKUP($C287,Merchants!$A$2:$D$41,2,FALSE),"Merchant not found")</f>
        <v>Merchant_025</v>
      </c>
      <c r="J287" s="12" t="str">
        <f>IFERROR(VLOOKUP($C287,Merchants!$A$2:$D$41,3,FALSE),"Merchant not found")</f>
        <v>travel</v>
      </c>
      <c r="K287" s="12" t="str">
        <f>IFERROR(VLOOKUP($C287,Merchants!$A$2:$D$41,4,FALSE),"Merchant not found")</f>
        <v>South</v>
      </c>
      <c r="L287" s="13" t="str">
        <f t="shared" si="4"/>
        <v>Standard</v>
      </c>
    </row>
    <row r="288" spans="1:12" x14ac:dyDescent="0.3">
      <c r="A288" s="3" t="s">
        <v>644</v>
      </c>
      <c r="B288" s="2">
        <v>183</v>
      </c>
      <c r="C288" s="2">
        <v>5</v>
      </c>
      <c r="D288" s="2" t="s">
        <v>645</v>
      </c>
      <c r="E288" s="2">
        <v>49</v>
      </c>
      <c r="F288" s="3" t="s">
        <v>95</v>
      </c>
      <c r="G288" s="3" t="s">
        <v>70</v>
      </c>
      <c r="H288" s="2">
        <v>44</v>
      </c>
      <c r="I288" s="10" t="str">
        <f>IFERROR(VLOOKUP($C288,Merchants!$A$2:$D$41,2,FALSE),"Merchant not found")</f>
        <v>Merchant_005</v>
      </c>
      <c r="J288" s="10" t="str">
        <f>IFERROR(VLOOKUP($C288,Merchants!$A$2:$D$41,3,FALSE),"Merchant not found")</f>
        <v>recharge</v>
      </c>
      <c r="K288" s="10" t="str">
        <f>IFERROR(VLOOKUP($C288,Merchants!$A$2:$D$41,4,FALSE),"Merchant not found")</f>
        <v>South</v>
      </c>
      <c r="L288" s="11" t="str">
        <f t="shared" si="4"/>
        <v>Standard</v>
      </c>
    </row>
    <row r="289" spans="1:12" x14ac:dyDescent="0.3">
      <c r="A289" s="5" t="s">
        <v>646</v>
      </c>
      <c r="B289" s="4">
        <v>322</v>
      </c>
      <c r="C289" s="4">
        <v>7</v>
      </c>
      <c r="D289" s="4" t="s">
        <v>647</v>
      </c>
      <c r="E289" s="4">
        <v>299</v>
      </c>
      <c r="F289" s="5" t="s">
        <v>73</v>
      </c>
      <c r="G289" s="5" t="s">
        <v>70</v>
      </c>
      <c r="H289" s="4">
        <v>98</v>
      </c>
      <c r="I289" s="12" t="str">
        <f>IFERROR(VLOOKUP($C289,Merchants!$A$2:$D$41,2,FALSE),"Merchant not found")</f>
        <v>Merchant_007</v>
      </c>
      <c r="J289" s="12" t="str">
        <f>IFERROR(VLOOKUP($C289,Merchants!$A$2:$D$41,3,FALSE),"Merchant not found")</f>
        <v>food_delivery</v>
      </c>
      <c r="K289" s="12" t="str">
        <f>IFERROR(VLOOKUP($C289,Merchants!$A$2:$D$41,4,FALSE),"Merchant not found")</f>
        <v>East</v>
      </c>
      <c r="L289" s="13" t="str">
        <f t="shared" si="4"/>
        <v>Standard</v>
      </c>
    </row>
    <row r="290" spans="1:12" x14ac:dyDescent="0.3">
      <c r="A290" s="3" t="s">
        <v>648</v>
      </c>
      <c r="B290" s="2">
        <v>171</v>
      </c>
      <c r="C290" s="2">
        <v>9</v>
      </c>
      <c r="D290" s="2" t="s">
        <v>649</v>
      </c>
      <c r="E290" s="2">
        <v>299</v>
      </c>
      <c r="F290" s="3" t="s">
        <v>73</v>
      </c>
      <c r="G290" s="3" t="s">
        <v>70</v>
      </c>
      <c r="H290" s="2">
        <v>5</v>
      </c>
      <c r="I290" s="10" t="str">
        <f>IFERROR(VLOOKUP($C290,Merchants!$A$2:$D$41,2,FALSE),"Merchant not found")</f>
        <v>Merchant_009</v>
      </c>
      <c r="J290" s="10" t="str">
        <f>IFERROR(VLOOKUP($C290,Merchants!$A$2:$D$41,3,FALSE),"Merchant not found")</f>
        <v>ecommerce</v>
      </c>
      <c r="K290" s="10" t="str">
        <f>IFERROR(VLOOKUP($C290,Merchants!$A$2:$D$41,4,FALSE),"Merchant not found")</f>
        <v>North</v>
      </c>
      <c r="L290" s="11" t="str">
        <f t="shared" si="4"/>
        <v>Standard</v>
      </c>
    </row>
    <row r="291" spans="1:12" x14ac:dyDescent="0.3">
      <c r="A291" s="5" t="s">
        <v>650</v>
      </c>
      <c r="B291" s="4">
        <v>330</v>
      </c>
      <c r="C291" s="4">
        <v>12</v>
      </c>
      <c r="D291" s="4" t="s">
        <v>651</v>
      </c>
      <c r="E291" s="4">
        <v>1499</v>
      </c>
      <c r="F291" s="5" t="s">
        <v>78</v>
      </c>
      <c r="G291" s="5" t="s">
        <v>70</v>
      </c>
      <c r="H291" s="4">
        <v>99</v>
      </c>
      <c r="I291" s="12" t="str">
        <f>IFERROR(VLOOKUP($C291,Merchants!$A$2:$D$41,2,FALSE),"Merchant not found")</f>
        <v>Merchant_012</v>
      </c>
      <c r="J291" s="12" t="str">
        <f>IFERROR(VLOOKUP($C291,Merchants!$A$2:$D$41,3,FALSE),"Merchant not found")</f>
        <v>ecommerce</v>
      </c>
      <c r="K291" s="12" t="str">
        <f>IFERROR(VLOOKUP($C291,Merchants!$A$2:$D$41,4,FALSE),"Merchant not found")</f>
        <v>East</v>
      </c>
      <c r="L291" s="13" t="str">
        <f t="shared" si="4"/>
        <v>Standard</v>
      </c>
    </row>
    <row r="292" spans="1:12" x14ac:dyDescent="0.3">
      <c r="A292" s="3" t="s">
        <v>652</v>
      </c>
      <c r="B292" s="2">
        <v>246</v>
      </c>
      <c r="C292" s="2">
        <v>12</v>
      </c>
      <c r="D292" s="2" t="s">
        <v>653</v>
      </c>
      <c r="E292" s="2">
        <v>99</v>
      </c>
      <c r="F292" s="3" t="s">
        <v>69</v>
      </c>
      <c r="G292" s="3" t="s">
        <v>70</v>
      </c>
      <c r="H292" s="2">
        <v>17</v>
      </c>
      <c r="I292" s="10" t="str">
        <f>IFERROR(VLOOKUP($C292,Merchants!$A$2:$D$41,2,FALSE),"Merchant not found")</f>
        <v>Merchant_012</v>
      </c>
      <c r="J292" s="10" t="str">
        <f>IFERROR(VLOOKUP($C292,Merchants!$A$2:$D$41,3,FALSE),"Merchant not found")</f>
        <v>ecommerce</v>
      </c>
      <c r="K292" s="10" t="str">
        <f>IFERROR(VLOOKUP($C292,Merchants!$A$2:$D$41,4,FALSE),"Merchant not found")</f>
        <v>East</v>
      </c>
      <c r="L292" s="11" t="str">
        <f t="shared" si="4"/>
        <v>Standard</v>
      </c>
    </row>
    <row r="293" spans="1:12" x14ac:dyDescent="0.3">
      <c r="A293" s="5" t="s">
        <v>654</v>
      </c>
      <c r="B293" s="4">
        <v>235</v>
      </c>
      <c r="C293" s="4">
        <v>3</v>
      </c>
      <c r="D293" s="4" t="s">
        <v>655</v>
      </c>
      <c r="E293" s="4">
        <v>49</v>
      </c>
      <c r="F293" s="5" t="s">
        <v>73</v>
      </c>
      <c r="G293" s="5" t="s">
        <v>70</v>
      </c>
      <c r="H293" s="4">
        <v>37</v>
      </c>
      <c r="I293" s="12" t="str">
        <f>IFERROR(VLOOKUP($C293,Merchants!$A$2:$D$41,2,FALSE),"Merchant not found")</f>
        <v>Merchant_003</v>
      </c>
      <c r="J293" s="12" t="str">
        <f>IFERROR(VLOOKUP($C293,Merchants!$A$2:$D$41,3,FALSE),"Merchant not found")</f>
        <v>grocery</v>
      </c>
      <c r="K293" s="12" t="str">
        <f>IFERROR(VLOOKUP($C293,Merchants!$A$2:$D$41,4,FALSE),"Merchant not found")</f>
        <v>East</v>
      </c>
      <c r="L293" s="13" t="str">
        <f t="shared" si="4"/>
        <v>Standard</v>
      </c>
    </row>
    <row r="294" spans="1:12" x14ac:dyDescent="0.3">
      <c r="A294" s="3" t="s">
        <v>656</v>
      </c>
      <c r="B294" s="2">
        <v>103</v>
      </c>
      <c r="C294" s="2">
        <v>3</v>
      </c>
      <c r="D294" s="2" t="s">
        <v>657</v>
      </c>
      <c r="E294" s="2">
        <v>499</v>
      </c>
      <c r="F294" s="3" t="s">
        <v>73</v>
      </c>
      <c r="G294" s="3" t="s">
        <v>70</v>
      </c>
      <c r="H294" s="2">
        <v>40</v>
      </c>
      <c r="I294" s="10" t="str">
        <f>IFERROR(VLOOKUP($C294,Merchants!$A$2:$D$41,2,FALSE),"Merchant not found")</f>
        <v>Merchant_003</v>
      </c>
      <c r="J294" s="10" t="str">
        <f>IFERROR(VLOOKUP($C294,Merchants!$A$2:$D$41,3,FALSE),"Merchant not found")</f>
        <v>grocery</v>
      </c>
      <c r="K294" s="10" t="str">
        <f>IFERROR(VLOOKUP($C294,Merchants!$A$2:$D$41,4,FALSE),"Merchant not found")</f>
        <v>East</v>
      </c>
      <c r="L294" s="11" t="str">
        <f t="shared" si="4"/>
        <v>Standard</v>
      </c>
    </row>
    <row r="295" spans="1:12" x14ac:dyDescent="0.3">
      <c r="A295" s="5" t="s">
        <v>658</v>
      </c>
      <c r="B295" s="4">
        <v>204</v>
      </c>
      <c r="C295" s="4">
        <v>35</v>
      </c>
      <c r="D295" s="4" t="s">
        <v>659</v>
      </c>
      <c r="E295" s="4">
        <v>99</v>
      </c>
      <c r="F295" s="5" t="s">
        <v>69</v>
      </c>
      <c r="G295" s="5" t="s">
        <v>70</v>
      </c>
      <c r="H295" s="4">
        <v>60</v>
      </c>
      <c r="I295" s="12" t="str">
        <f>IFERROR(VLOOKUP($C295,Merchants!$A$2:$D$41,2,FALSE),"Merchant not found")</f>
        <v>Merchant_035</v>
      </c>
      <c r="J295" s="12" t="str">
        <f>IFERROR(VLOOKUP($C295,Merchants!$A$2:$D$41,3,FALSE),"Merchant not found")</f>
        <v>recharge</v>
      </c>
      <c r="K295" s="12" t="str">
        <f>IFERROR(VLOOKUP($C295,Merchants!$A$2:$D$41,4,FALSE),"Merchant not found")</f>
        <v>East</v>
      </c>
      <c r="L295" s="13" t="str">
        <f t="shared" si="4"/>
        <v>Standard</v>
      </c>
    </row>
    <row r="296" spans="1:12" x14ac:dyDescent="0.3">
      <c r="A296" s="3" t="s">
        <v>660</v>
      </c>
      <c r="B296" s="2">
        <v>332</v>
      </c>
      <c r="C296" s="2">
        <v>13</v>
      </c>
      <c r="D296" s="2" t="s">
        <v>661</v>
      </c>
      <c r="E296" s="2">
        <v>49</v>
      </c>
      <c r="F296" s="3" t="s">
        <v>95</v>
      </c>
      <c r="G296" s="3" t="s">
        <v>70</v>
      </c>
      <c r="H296" s="2">
        <v>36</v>
      </c>
      <c r="I296" s="10" t="str">
        <f>IFERROR(VLOOKUP($C296,Merchants!$A$2:$D$41,2,FALSE),"Merchant not found")</f>
        <v>Merchant_013</v>
      </c>
      <c r="J296" s="10" t="str">
        <f>IFERROR(VLOOKUP($C296,Merchants!$A$2:$D$41,3,FALSE),"Merchant not found")</f>
        <v>travel</v>
      </c>
      <c r="K296" s="10" t="str">
        <f>IFERROR(VLOOKUP($C296,Merchants!$A$2:$D$41,4,FALSE),"Merchant not found")</f>
        <v>East</v>
      </c>
      <c r="L296" s="11" t="str">
        <f t="shared" si="4"/>
        <v>Standard</v>
      </c>
    </row>
    <row r="297" spans="1:12" x14ac:dyDescent="0.3">
      <c r="A297" s="5" t="s">
        <v>662</v>
      </c>
      <c r="B297" s="4">
        <v>336</v>
      </c>
      <c r="C297" s="4">
        <v>22</v>
      </c>
      <c r="D297" s="4" t="s">
        <v>663</v>
      </c>
      <c r="E297" s="4">
        <v>499</v>
      </c>
      <c r="F297" s="5" t="s">
        <v>73</v>
      </c>
      <c r="G297" s="5" t="s">
        <v>70</v>
      </c>
      <c r="H297" s="4">
        <v>34</v>
      </c>
      <c r="I297" s="12" t="str">
        <f>IFERROR(VLOOKUP($C297,Merchants!$A$2:$D$41,2,FALSE),"Merchant not found")</f>
        <v>Merchant_022</v>
      </c>
      <c r="J297" s="12" t="str">
        <f>IFERROR(VLOOKUP($C297,Merchants!$A$2:$D$41,3,FALSE),"Merchant not found")</f>
        <v>travel</v>
      </c>
      <c r="K297" s="12" t="str">
        <f>IFERROR(VLOOKUP($C297,Merchants!$A$2:$D$41,4,FALSE),"Merchant not found")</f>
        <v>South</v>
      </c>
      <c r="L297" s="13" t="str">
        <f t="shared" si="4"/>
        <v>Standard</v>
      </c>
    </row>
    <row r="298" spans="1:12" x14ac:dyDescent="0.3">
      <c r="A298" s="3" t="s">
        <v>664</v>
      </c>
      <c r="B298" s="2">
        <v>205</v>
      </c>
      <c r="C298" s="2">
        <v>29</v>
      </c>
      <c r="D298" s="2" t="s">
        <v>665</v>
      </c>
      <c r="E298" s="2">
        <v>99</v>
      </c>
      <c r="F298" s="3" t="s">
        <v>69</v>
      </c>
      <c r="G298" s="3" t="s">
        <v>70</v>
      </c>
      <c r="H298" s="2">
        <v>49</v>
      </c>
      <c r="I298" s="10" t="str">
        <f>IFERROR(VLOOKUP($C298,Merchants!$A$2:$D$41,2,FALSE),"Merchant not found")</f>
        <v>Merchant_029</v>
      </c>
      <c r="J298" s="10" t="str">
        <f>IFERROR(VLOOKUP($C298,Merchants!$A$2:$D$41,3,FALSE),"Merchant not found")</f>
        <v>ecommerce</v>
      </c>
      <c r="K298" s="10" t="str">
        <f>IFERROR(VLOOKUP($C298,Merchants!$A$2:$D$41,4,FALSE),"Merchant not found")</f>
        <v>North</v>
      </c>
      <c r="L298" s="11" t="str">
        <f t="shared" si="4"/>
        <v>Standard</v>
      </c>
    </row>
    <row r="299" spans="1:12" x14ac:dyDescent="0.3">
      <c r="A299" s="5" t="s">
        <v>666</v>
      </c>
      <c r="B299" s="4">
        <v>255</v>
      </c>
      <c r="C299" s="4">
        <v>24</v>
      </c>
      <c r="D299" s="4" t="s">
        <v>667</v>
      </c>
      <c r="E299" s="4">
        <v>799</v>
      </c>
      <c r="F299" s="5" t="s">
        <v>73</v>
      </c>
      <c r="G299" s="5" t="s">
        <v>70</v>
      </c>
      <c r="H299" s="4">
        <v>66</v>
      </c>
      <c r="I299" s="12" t="str">
        <f>IFERROR(VLOOKUP($C299,Merchants!$A$2:$D$41,2,FALSE),"Merchant not found")</f>
        <v>Merchant_024</v>
      </c>
      <c r="J299" s="12" t="str">
        <f>IFERROR(VLOOKUP($C299,Merchants!$A$2:$D$41,3,FALSE),"Merchant not found")</f>
        <v>grocery</v>
      </c>
      <c r="K299" s="12" t="str">
        <f>IFERROR(VLOOKUP($C299,Merchants!$A$2:$D$41,4,FALSE),"Merchant not found")</f>
        <v>North</v>
      </c>
      <c r="L299" s="13" t="str">
        <f t="shared" si="4"/>
        <v>Standard</v>
      </c>
    </row>
    <row r="300" spans="1:12" x14ac:dyDescent="0.3">
      <c r="A300" s="3" t="s">
        <v>668</v>
      </c>
      <c r="B300" s="2">
        <v>218</v>
      </c>
      <c r="C300" s="2">
        <v>6</v>
      </c>
      <c r="D300" s="2" t="s">
        <v>669</v>
      </c>
      <c r="E300" s="2">
        <v>99</v>
      </c>
      <c r="F300" s="3" t="s">
        <v>73</v>
      </c>
      <c r="G300" s="3" t="s">
        <v>70</v>
      </c>
      <c r="H300" s="2">
        <v>55</v>
      </c>
      <c r="I300" s="10" t="str">
        <f>IFERROR(VLOOKUP($C300,Merchants!$A$2:$D$41,2,FALSE),"Merchant not found")</f>
        <v>Merchant_006</v>
      </c>
      <c r="J300" s="10" t="str">
        <f>IFERROR(VLOOKUP($C300,Merchants!$A$2:$D$41,3,FALSE),"Merchant not found")</f>
        <v>food_delivery</v>
      </c>
      <c r="K300" s="10" t="str">
        <f>IFERROR(VLOOKUP($C300,Merchants!$A$2:$D$41,4,FALSE),"Merchant not found")</f>
        <v>South</v>
      </c>
      <c r="L300" s="11" t="str">
        <f t="shared" si="4"/>
        <v>Standard</v>
      </c>
    </row>
    <row r="301" spans="1:12" x14ac:dyDescent="0.3">
      <c r="A301" s="5" t="s">
        <v>670</v>
      </c>
      <c r="B301" s="4">
        <v>151</v>
      </c>
      <c r="C301" s="4">
        <v>21</v>
      </c>
      <c r="D301" s="4" t="s">
        <v>671</v>
      </c>
      <c r="E301" s="4">
        <v>49</v>
      </c>
      <c r="F301" s="5" t="s">
        <v>73</v>
      </c>
      <c r="G301" s="5" t="s">
        <v>70</v>
      </c>
      <c r="H301" s="4">
        <v>13</v>
      </c>
      <c r="I301" s="12" t="str">
        <f>IFERROR(VLOOKUP($C301,Merchants!$A$2:$D$41,2,FALSE),"Merchant not found")</f>
        <v>Merchant_021</v>
      </c>
      <c r="J301" s="12" t="str">
        <f>IFERROR(VLOOKUP($C301,Merchants!$A$2:$D$41,3,FALSE),"Merchant not found")</f>
        <v>food_delivery</v>
      </c>
      <c r="K301" s="12" t="str">
        <f>IFERROR(VLOOKUP($C301,Merchants!$A$2:$D$41,4,FALSE),"Merchant not found")</f>
        <v>East</v>
      </c>
      <c r="L301" s="13" t="str">
        <f t="shared" si="4"/>
        <v>Standard</v>
      </c>
    </row>
    <row r="302" spans="1:12" x14ac:dyDescent="0.3">
      <c r="A302" s="3" t="s">
        <v>672</v>
      </c>
      <c r="B302" s="2">
        <v>152</v>
      </c>
      <c r="C302" s="2">
        <v>20</v>
      </c>
      <c r="D302" s="2" t="s">
        <v>673</v>
      </c>
      <c r="E302" s="2">
        <v>49</v>
      </c>
      <c r="F302" s="3" t="s">
        <v>73</v>
      </c>
      <c r="G302" s="3" t="s">
        <v>70</v>
      </c>
      <c r="H302" s="2">
        <v>57</v>
      </c>
      <c r="I302" s="10" t="str">
        <f>IFERROR(VLOOKUP($C302,Merchants!$A$2:$D$41,2,FALSE),"Merchant not found")</f>
        <v>Merchant_020</v>
      </c>
      <c r="J302" s="10" t="str">
        <f>IFERROR(VLOOKUP($C302,Merchants!$A$2:$D$41,3,FALSE),"Merchant not found")</f>
        <v>food_delivery</v>
      </c>
      <c r="K302" s="10" t="str">
        <f>IFERROR(VLOOKUP($C302,Merchants!$A$2:$D$41,4,FALSE),"Merchant not found")</f>
        <v>East</v>
      </c>
      <c r="L302" s="11" t="str">
        <f t="shared" si="4"/>
        <v>Standard</v>
      </c>
    </row>
    <row r="303" spans="1:12" x14ac:dyDescent="0.3">
      <c r="A303" s="5" t="s">
        <v>674</v>
      </c>
      <c r="B303" s="4">
        <v>86</v>
      </c>
      <c r="C303" s="4">
        <v>29</v>
      </c>
      <c r="D303" s="4" t="s">
        <v>675</v>
      </c>
      <c r="E303" s="4">
        <v>149</v>
      </c>
      <c r="F303" s="5" t="s">
        <v>95</v>
      </c>
      <c r="G303" s="5" t="s">
        <v>70</v>
      </c>
      <c r="H303" s="4">
        <v>44</v>
      </c>
      <c r="I303" s="12" t="str">
        <f>IFERROR(VLOOKUP($C303,Merchants!$A$2:$D$41,2,FALSE),"Merchant not found")</f>
        <v>Merchant_029</v>
      </c>
      <c r="J303" s="12" t="str">
        <f>IFERROR(VLOOKUP($C303,Merchants!$A$2:$D$41,3,FALSE),"Merchant not found")</f>
        <v>ecommerce</v>
      </c>
      <c r="K303" s="12" t="str">
        <f>IFERROR(VLOOKUP($C303,Merchants!$A$2:$D$41,4,FALSE),"Merchant not found")</f>
        <v>North</v>
      </c>
      <c r="L303" s="13" t="str">
        <f t="shared" si="4"/>
        <v>Standard</v>
      </c>
    </row>
    <row r="304" spans="1:12" x14ac:dyDescent="0.3">
      <c r="A304" s="3" t="s">
        <v>676</v>
      </c>
      <c r="B304" s="2">
        <v>181</v>
      </c>
      <c r="C304" s="2">
        <v>40</v>
      </c>
      <c r="D304" s="2" t="s">
        <v>677</v>
      </c>
      <c r="E304" s="2">
        <v>149</v>
      </c>
      <c r="F304" s="3" t="s">
        <v>73</v>
      </c>
      <c r="G304" s="3" t="s">
        <v>70</v>
      </c>
      <c r="H304" s="2">
        <v>55</v>
      </c>
      <c r="I304" s="10" t="str">
        <f>IFERROR(VLOOKUP($C304,Merchants!$A$2:$D$41,2,FALSE),"Merchant not found")</f>
        <v>Merchant_040</v>
      </c>
      <c r="J304" s="10" t="str">
        <f>IFERROR(VLOOKUP($C304,Merchants!$A$2:$D$41,3,FALSE),"Merchant not found")</f>
        <v>entertainment</v>
      </c>
      <c r="K304" s="10" t="str">
        <f>IFERROR(VLOOKUP($C304,Merchants!$A$2:$D$41,4,FALSE),"Merchant not found")</f>
        <v>South</v>
      </c>
      <c r="L304" s="11" t="str">
        <f t="shared" si="4"/>
        <v>Standard</v>
      </c>
    </row>
    <row r="305" spans="1:12" x14ac:dyDescent="0.3">
      <c r="A305" s="5" t="s">
        <v>678</v>
      </c>
      <c r="B305" s="4">
        <v>30</v>
      </c>
      <c r="C305" s="4">
        <v>5</v>
      </c>
      <c r="D305" s="4" t="s">
        <v>679</v>
      </c>
      <c r="E305" s="4">
        <v>299</v>
      </c>
      <c r="F305" s="5" t="s">
        <v>73</v>
      </c>
      <c r="G305" s="5" t="s">
        <v>70</v>
      </c>
      <c r="H305" s="4">
        <v>85</v>
      </c>
      <c r="I305" s="12" t="str">
        <f>IFERROR(VLOOKUP($C305,Merchants!$A$2:$D$41,2,FALSE),"Merchant not found")</f>
        <v>Merchant_005</v>
      </c>
      <c r="J305" s="12" t="str">
        <f>IFERROR(VLOOKUP($C305,Merchants!$A$2:$D$41,3,FALSE),"Merchant not found")</f>
        <v>recharge</v>
      </c>
      <c r="K305" s="12" t="str">
        <f>IFERROR(VLOOKUP($C305,Merchants!$A$2:$D$41,4,FALSE),"Merchant not found")</f>
        <v>South</v>
      </c>
      <c r="L305" s="13" t="str">
        <f t="shared" si="4"/>
        <v>Standard</v>
      </c>
    </row>
    <row r="306" spans="1:12" x14ac:dyDescent="0.3">
      <c r="A306" s="3" t="s">
        <v>680</v>
      </c>
      <c r="B306" s="2">
        <v>263</v>
      </c>
      <c r="C306" s="2">
        <v>11</v>
      </c>
      <c r="D306" s="2" t="s">
        <v>681</v>
      </c>
      <c r="E306" s="2">
        <v>149</v>
      </c>
      <c r="F306" s="3" t="s">
        <v>69</v>
      </c>
      <c r="G306" s="3" t="s">
        <v>70</v>
      </c>
      <c r="H306" s="2">
        <v>3</v>
      </c>
      <c r="I306" s="10" t="str">
        <f>IFERROR(VLOOKUP($C306,Merchants!$A$2:$D$41,2,FALSE),"Merchant not found")</f>
        <v>Merchant_011</v>
      </c>
      <c r="J306" s="10" t="str">
        <f>IFERROR(VLOOKUP($C306,Merchants!$A$2:$D$41,3,FALSE),"Merchant not found")</f>
        <v>ecommerce</v>
      </c>
      <c r="K306" s="10" t="str">
        <f>IFERROR(VLOOKUP($C306,Merchants!$A$2:$D$41,4,FALSE),"Merchant not found")</f>
        <v>North</v>
      </c>
      <c r="L306" s="11" t="str">
        <f t="shared" si="4"/>
        <v>Standard</v>
      </c>
    </row>
    <row r="307" spans="1:12" x14ac:dyDescent="0.3">
      <c r="A307" s="5" t="s">
        <v>682</v>
      </c>
      <c r="B307" s="4">
        <v>225</v>
      </c>
      <c r="C307" s="4">
        <v>3</v>
      </c>
      <c r="D307" s="4" t="s">
        <v>683</v>
      </c>
      <c r="E307" s="4">
        <v>99</v>
      </c>
      <c r="F307" s="5" t="s">
        <v>78</v>
      </c>
      <c r="G307" s="5" t="s">
        <v>70</v>
      </c>
      <c r="H307" s="4">
        <v>16</v>
      </c>
      <c r="I307" s="12" t="str">
        <f>IFERROR(VLOOKUP($C307,Merchants!$A$2:$D$41,2,FALSE),"Merchant not found")</f>
        <v>Merchant_003</v>
      </c>
      <c r="J307" s="12" t="str">
        <f>IFERROR(VLOOKUP($C307,Merchants!$A$2:$D$41,3,FALSE),"Merchant not found")</f>
        <v>grocery</v>
      </c>
      <c r="K307" s="12" t="str">
        <f>IFERROR(VLOOKUP($C307,Merchants!$A$2:$D$41,4,FALSE),"Merchant not found")</f>
        <v>East</v>
      </c>
      <c r="L307" s="13" t="str">
        <f t="shared" si="4"/>
        <v>Standard</v>
      </c>
    </row>
    <row r="308" spans="1:12" x14ac:dyDescent="0.3">
      <c r="A308" s="3" t="s">
        <v>684</v>
      </c>
      <c r="B308" s="2">
        <v>331</v>
      </c>
      <c r="C308" s="2">
        <v>24</v>
      </c>
      <c r="D308" s="2" t="s">
        <v>685</v>
      </c>
      <c r="E308" s="2">
        <v>49</v>
      </c>
      <c r="F308" s="3" t="s">
        <v>95</v>
      </c>
      <c r="G308" s="3" t="s">
        <v>70</v>
      </c>
      <c r="H308" s="2">
        <v>46</v>
      </c>
      <c r="I308" s="10" t="str">
        <f>IFERROR(VLOOKUP($C308,Merchants!$A$2:$D$41,2,FALSE),"Merchant not found")</f>
        <v>Merchant_024</v>
      </c>
      <c r="J308" s="10" t="str">
        <f>IFERROR(VLOOKUP($C308,Merchants!$A$2:$D$41,3,FALSE),"Merchant not found")</f>
        <v>grocery</v>
      </c>
      <c r="K308" s="10" t="str">
        <f>IFERROR(VLOOKUP($C308,Merchants!$A$2:$D$41,4,FALSE),"Merchant not found")</f>
        <v>North</v>
      </c>
      <c r="L308" s="11" t="str">
        <f t="shared" si="4"/>
        <v>Standard</v>
      </c>
    </row>
    <row r="309" spans="1:12" x14ac:dyDescent="0.3">
      <c r="A309" s="5" t="s">
        <v>686</v>
      </c>
      <c r="B309" s="4">
        <v>310</v>
      </c>
      <c r="C309" s="4">
        <v>10</v>
      </c>
      <c r="D309" s="4" t="s">
        <v>687</v>
      </c>
      <c r="E309" s="4">
        <v>1499</v>
      </c>
      <c r="F309" s="5" t="s">
        <v>95</v>
      </c>
      <c r="G309" s="5" t="s">
        <v>70</v>
      </c>
      <c r="H309" s="4">
        <v>86</v>
      </c>
      <c r="I309" s="12" t="str">
        <f>IFERROR(VLOOKUP($C309,Merchants!$A$2:$D$41,2,FALSE),"Merchant not found")</f>
        <v>Merchant_010</v>
      </c>
      <c r="J309" s="12" t="str">
        <f>IFERROR(VLOOKUP($C309,Merchants!$A$2:$D$41,3,FALSE),"Merchant not found")</f>
        <v>grocery</v>
      </c>
      <c r="K309" s="12" t="str">
        <f>IFERROR(VLOOKUP($C309,Merchants!$A$2:$D$41,4,FALSE),"Merchant not found")</f>
        <v>West</v>
      </c>
      <c r="L309" s="13" t="str">
        <f t="shared" si="4"/>
        <v>Standard</v>
      </c>
    </row>
    <row r="310" spans="1:12" x14ac:dyDescent="0.3">
      <c r="A310" s="3" t="s">
        <v>688</v>
      </c>
      <c r="B310" s="2">
        <v>228</v>
      </c>
      <c r="C310" s="2">
        <v>5</v>
      </c>
      <c r="D310" s="2" t="s">
        <v>689</v>
      </c>
      <c r="E310" s="2">
        <v>49</v>
      </c>
      <c r="F310" s="3" t="s">
        <v>73</v>
      </c>
      <c r="G310" s="3" t="s">
        <v>70</v>
      </c>
      <c r="H310" s="2">
        <v>73</v>
      </c>
      <c r="I310" s="10" t="str">
        <f>IFERROR(VLOOKUP($C310,Merchants!$A$2:$D$41,2,FALSE),"Merchant not found")</f>
        <v>Merchant_005</v>
      </c>
      <c r="J310" s="10" t="str">
        <f>IFERROR(VLOOKUP($C310,Merchants!$A$2:$D$41,3,FALSE),"Merchant not found")</f>
        <v>recharge</v>
      </c>
      <c r="K310" s="10" t="str">
        <f>IFERROR(VLOOKUP($C310,Merchants!$A$2:$D$41,4,FALSE),"Merchant not found")</f>
        <v>South</v>
      </c>
      <c r="L310" s="11" t="str">
        <f t="shared" si="4"/>
        <v>Standard</v>
      </c>
    </row>
    <row r="311" spans="1:12" x14ac:dyDescent="0.3">
      <c r="A311" s="5" t="s">
        <v>690</v>
      </c>
      <c r="B311" s="4">
        <v>204</v>
      </c>
      <c r="C311" s="4">
        <v>21</v>
      </c>
      <c r="D311" s="4" t="s">
        <v>691</v>
      </c>
      <c r="E311" s="4">
        <v>499</v>
      </c>
      <c r="F311" s="5" t="s">
        <v>73</v>
      </c>
      <c r="G311" s="5" t="s">
        <v>70</v>
      </c>
      <c r="H311" s="4">
        <v>83</v>
      </c>
      <c r="I311" s="12" t="str">
        <f>IFERROR(VLOOKUP($C311,Merchants!$A$2:$D$41,2,FALSE),"Merchant not found")</f>
        <v>Merchant_021</v>
      </c>
      <c r="J311" s="12" t="str">
        <f>IFERROR(VLOOKUP($C311,Merchants!$A$2:$D$41,3,FALSE),"Merchant not found")</f>
        <v>food_delivery</v>
      </c>
      <c r="K311" s="12" t="str">
        <f>IFERROR(VLOOKUP($C311,Merchants!$A$2:$D$41,4,FALSE),"Merchant not found")</f>
        <v>East</v>
      </c>
      <c r="L311" s="13" t="str">
        <f t="shared" si="4"/>
        <v>Standard</v>
      </c>
    </row>
    <row r="312" spans="1:12" x14ac:dyDescent="0.3">
      <c r="A312" s="3" t="s">
        <v>692</v>
      </c>
      <c r="B312" s="2">
        <v>14</v>
      </c>
      <c r="C312" s="2">
        <v>12</v>
      </c>
      <c r="D312" s="2" t="s">
        <v>233</v>
      </c>
      <c r="E312" s="2">
        <v>799</v>
      </c>
      <c r="F312" s="3" t="s">
        <v>78</v>
      </c>
      <c r="G312" s="3" t="s">
        <v>70</v>
      </c>
      <c r="H312" s="2">
        <v>63</v>
      </c>
      <c r="I312" s="10" t="str">
        <f>IFERROR(VLOOKUP($C312,Merchants!$A$2:$D$41,2,FALSE),"Merchant not found")</f>
        <v>Merchant_012</v>
      </c>
      <c r="J312" s="10" t="str">
        <f>IFERROR(VLOOKUP($C312,Merchants!$A$2:$D$41,3,FALSE),"Merchant not found")</f>
        <v>ecommerce</v>
      </c>
      <c r="K312" s="10" t="str">
        <f>IFERROR(VLOOKUP($C312,Merchants!$A$2:$D$41,4,FALSE),"Merchant not found")</f>
        <v>East</v>
      </c>
      <c r="L312" s="11" t="str">
        <f t="shared" si="4"/>
        <v>Standard</v>
      </c>
    </row>
    <row r="313" spans="1:12" x14ac:dyDescent="0.3">
      <c r="A313" s="5" t="s">
        <v>693</v>
      </c>
      <c r="B313" s="4">
        <v>288</v>
      </c>
      <c r="C313" s="4">
        <v>8</v>
      </c>
      <c r="D313" s="4" t="s">
        <v>694</v>
      </c>
      <c r="E313" s="4">
        <v>49</v>
      </c>
      <c r="F313" s="5" t="s">
        <v>73</v>
      </c>
      <c r="G313" s="5" t="s">
        <v>70</v>
      </c>
      <c r="H313" s="4">
        <v>33</v>
      </c>
      <c r="I313" s="12" t="str">
        <f>IFERROR(VLOOKUP($C313,Merchants!$A$2:$D$41,2,FALSE),"Merchant not found")</f>
        <v>Merchant_008</v>
      </c>
      <c r="J313" s="12" t="str">
        <f>IFERROR(VLOOKUP($C313,Merchants!$A$2:$D$41,3,FALSE),"Merchant not found")</f>
        <v>food_delivery</v>
      </c>
      <c r="K313" s="12" t="str">
        <f>IFERROR(VLOOKUP($C313,Merchants!$A$2:$D$41,4,FALSE),"Merchant not found")</f>
        <v>North</v>
      </c>
      <c r="L313" s="13" t="str">
        <f t="shared" si="4"/>
        <v>Standard</v>
      </c>
    </row>
    <row r="314" spans="1:12" x14ac:dyDescent="0.3">
      <c r="A314" s="3" t="s">
        <v>695</v>
      </c>
      <c r="B314" s="2">
        <v>229</v>
      </c>
      <c r="C314" s="2">
        <v>14</v>
      </c>
      <c r="D314" s="2" t="s">
        <v>696</v>
      </c>
      <c r="E314" s="2">
        <v>1499</v>
      </c>
      <c r="F314" s="3" t="s">
        <v>73</v>
      </c>
      <c r="G314" s="3" t="s">
        <v>70</v>
      </c>
      <c r="H314" s="2">
        <v>78</v>
      </c>
      <c r="I314" s="10" t="str">
        <f>IFERROR(VLOOKUP($C314,Merchants!$A$2:$D$41,2,FALSE),"Merchant not found")</f>
        <v>Merchant_014</v>
      </c>
      <c r="J314" s="10" t="str">
        <f>IFERROR(VLOOKUP($C314,Merchants!$A$2:$D$41,3,FALSE),"Merchant not found")</f>
        <v>grocery</v>
      </c>
      <c r="K314" s="10" t="str">
        <f>IFERROR(VLOOKUP($C314,Merchants!$A$2:$D$41,4,FALSE),"Merchant not found")</f>
        <v>East</v>
      </c>
      <c r="L314" s="11" t="str">
        <f t="shared" si="4"/>
        <v>Standard</v>
      </c>
    </row>
    <row r="315" spans="1:12" x14ac:dyDescent="0.3">
      <c r="A315" s="5" t="s">
        <v>697</v>
      </c>
      <c r="B315" s="4">
        <v>252</v>
      </c>
      <c r="C315" s="4">
        <v>13</v>
      </c>
      <c r="D315" s="4" t="s">
        <v>698</v>
      </c>
      <c r="E315" s="4">
        <v>99</v>
      </c>
      <c r="F315" s="5" t="s">
        <v>69</v>
      </c>
      <c r="G315" s="5" t="s">
        <v>70</v>
      </c>
      <c r="H315" s="4">
        <v>15</v>
      </c>
      <c r="I315" s="12" t="str">
        <f>IFERROR(VLOOKUP($C315,Merchants!$A$2:$D$41,2,FALSE),"Merchant not found")</f>
        <v>Merchant_013</v>
      </c>
      <c r="J315" s="12" t="str">
        <f>IFERROR(VLOOKUP($C315,Merchants!$A$2:$D$41,3,FALSE),"Merchant not found")</f>
        <v>travel</v>
      </c>
      <c r="K315" s="12" t="str">
        <f>IFERROR(VLOOKUP($C315,Merchants!$A$2:$D$41,4,FALSE),"Merchant not found")</f>
        <v>East</v>
      </c>
      <c r="L315" s="13" t="str">
        <f t="shared" si="4"/>
        <v>Standard</v>
      </c>
    </row>
    <row r="316" spans="1:12" x14ac:dyDescent="0.3">
      <c r="A316" s="3" t="s">
        <v>699</v>
      </c>
      <c r="B316" s="2">
        <v>89</v>
      </c>
      <c r="C316" s="2">
        <v>29</v>
      </c>
      <c r="D316" s="2" t="s">
        <v>700</v>
      </c>
      <c r="E316" s="2">
        <v>799</v>
      </c>
      <c r="F316" s="3" t="s">
        <v>73</v>
      </c>
      <c r="G316" s="3" t="s">
        <v>70</v>
      </c>
      <c r="H316" s="2">
        <v>11</v>
      </c>
      <c r="I316" s="10" t="str">
        <f>IFERROR(VLOOKUP($C316,Merchants!$A$2:$D$41,2,FALSE),"Merchant not found")</f>
        <v>Merchant_029</v>
      </c>
      <c r="J316" s="10" t="str">
        <f>IFERROR(VLOOKUP($C316,Merchants!$A$2:$D$41,3,FALSE),"Merchant not found")</f>
        <v>ecommerce</v>
      </c>
      <c r="K316" s="10" t="str">
        <f>IFERROR(VLOOKUP($C316,Merchants!$A$2:$D$41,4,FALSE),"Merchant not found")</f>
        <v>North</v>
      </c>
      <c r="L316" s="11" t="str">
        <f t="shared" si="4"/>
        <v>Standard</v>
      </c>
    </row>
    <row r="317" spans="1:12" x14ac:dyDescent="0.3">
      <c r="A317" s="5" t="s">
        <v>701</v>
      </c>
      <c r="B317" s="4">
        <v>164</v>
      </c>
      <c r="C317" s="4">
        <v>23</v>
      </c>
      <c r="D317" s="4" t="s">
        <v>702</v>
      </c>
      <c r="E317" s="4">
        <v>49</v>
      </c>
      <c r="F317" s="5" t="s">
        <v>78</v>
      </c>
      <c r="G317" s="5" t="s">
        <v>70</v>
      </c>
      <c r="H317" s="4">
        <v>90</v>
      </c>
      <c r="I317" s="12" t="str">
        <f>IFERROR(VLOOKUP($C317,Merchants!$A$2:$D$41,2,FALSE),"Merchant not found")</f>
        <v>Merchant_023</v>
      </c>
      <c r="J317" s="12" t="str">
        <f>IFERROR(VLOOKUP($C317,Merchants!$A$2:$D$41,3,FALSE),"Merchant not found")</f>
        <v>travel</v>
      </c>
      <c r="K317" s="12" t="str">
        <f>IFERROR(VLOOKUP($C317,Merchants!$A$2:$D$41,4,FALSE),"Merchant not found")</f>
        <v>North</v>
      </c>
      <c r="L317" s="13" t="str">
        <f t="shared" si="4"/>
        <v>Standard</v>
      </c>
    </row>
    <row r="318" spans="1:12" x14ac:dyDescent="0.3">
      <c r="A318" s="3" t="s">
        <v>703</v>
      </c>
      <c r="B318" s="2">
        <v>149</v>
      </c>
      <c r="C318" s="2">
        <v>20</v>
      </c>
      <c r="D318" s="2" t="s">
        <v>704</v>
      </c>
      <c r="E318" s="2">
        <v>299</v>
      </c>
      <c r="F318" s="3" t="s">
        <v>69</v>
      </c>
      <c r="G318" s="3" t="s">
        <v>70</v>
      </c>
      <c r="H318" s="2">
        <v>20</v>
      </c>
      <c r="I318" s="10" t="str">
        <f>IFERROR(VLOOKUP($C318,Merchants!$A$2:$D$41,2,FALSE),"Merchant not found")</f>
        <v>Merchant_020</v>
      </c>
      <c r="J318" s="10" t="str">
        <f>IFERROR(VLOOKUP($C318,Merchants!$A$2:$D$41,3,FALSE),"Merchant not found")</f>
        <v>food_delivery</v>
      </c>
      <c r="K318" s="10" t="str">
        <f>IFERROR(VLOOKUP($C318,Merchants!$A$2:$D$41,4,FALSE),"Merchant not found")</f>
        <v>East</v>
      </c>
      <c r="L318" s="11" t="str">
        <f t="shared" si="4"/>
        <v>Standard</v>
      </c>
    </row>
    <row r="319" spans="1:12" x14ac:dyDescent="0.3">
      <c r="A319" s="5" t="s">
        <v>705</v>
      </c>
      <c r="B319" s="4">
        <v>327</v>
      </c>
      <c r="C319" s="4">
        <v>12</v>
      </c>
      <c r="D319" s="4" t="s">
        <v>706</v>
      </c>
      <c r="E319" s="4">
        <v>49</v>
      </c>
      <c r="F319" s="5" t="s">
        <v>78</v>
      </c>
      <c r="G319" s="5" t="s">
        <v>70</v>
      </c>
      <c r="H319" s="4">
        <v>46</v>
      </c>
      <c r="I319" s="12" t="str">
        <f>IFERROR(VLOOKUP($C319,Merchants!$A$2:$D$41,2,FALSE),"Merchant not found")</f>
        <v>Merchant_012</v>
      </c>
      <c r="J319" s="12" t="str">
        <f>IFERROR(VLOOKUP($C319,Merchants!$A$2:$D$41,3,FALSE),"Merchant not found")</f>
        <v>ecommerce</v>
      </c>
      <c r="K319" s="12" t="str">
        <f>IFERROR(VLOOKUP($C319,Merchants!$A$2:$D$41,4,FALSE),"Merchant not found")</f>
        <v>East</v>
      </c>
      <c r="L319" s="13" t="str">
        <f t="shared" si="4"/>
        <v>Standard</v>
      </c>
    </row>
    <row r="320" spans="1:12" x14ac:dyDescent="0.3">
      <c r="A320" s="3" t="s">
        <v>707</v>
      </c>
      <c r="B320" s="2">
        <v>103</v>
      </c>
      <c r="C320" s="2">
        <v>9</v>
      </c>
      <c r="D320" s="2" t="s">
        <v>708</v>
      </c>
      <c r="E320" s="2">
        <v>149</v>
      </c>
      <c r="F320" s="3" t="s">
        <v>73</v>
      </c>
      <c r="G320" s="3" t="s">
        <v>70</v>
      </c>
      <c r="H320" s="2">
        <v>30</v>
      </c>
      <c r="I320" s="10" t="str">
        <f>IFERROR(VLOOKUP($C320,Merchants!$A$2:$D$41,2,FALSE),"Merchant not found")</f>
        <v>Merchant_009</v>
      </c>
      <c r="J320" s="10" t="str">
        <f>IFERROR(VLOOKUP($C320,Merchants!$A$2:$D$41,3,FALSE),"Merchant not found")</f>
        <v>ecommerce</v>
      </c>
      <c r="K320" s="10" t="str">
        <f>IFERROR(VLOOKUP($C320,Merchants!$A$2:$D$41,4,FALSE),"Merchant not found")</f>
        <v>North</v>
      </c>
      <c r="L320" s="11" t="str">
        <f t="shared" si="4"/>
        <v>Standard</v>
      </c>
    </row>
    <row r="321" spans="1:12" x14ac:dyDescent="0.3">
      <c r="A321" s="5" t="s">
        <v>709</v>
      </c>
      <c r="B321" s="4">
        <v>185</v>
      </c>
      <c r="C321" s="4">
        <v>36</v>
      </c>
      <c r="D321" s="4" t="s">
        <v>710</v>
      </c>
      <c r="E321" s="4">
        <v>49</v>
      </c>
      <c r="F321" s="5" t="s">
        <v>69</v>
      </c>
      <c r="G321" s="5" t="s">
        <v>70</v>
      </c>
      <c r="H321" s="4">
        <v>73</v>
      </c>
      <c r="I321" s="12" t="str">
        <f>IFERROR(VLOOKUP($C321,Merchants!$A$2:$D$41,2,FALSE),"Merchant not found")</f>
        <v>Merchant_036</v>
      </c>
      <c r="J321" s="12" t="str">
        <f>IFERROR(VLOOKUP($C321,Merchants!$A$2:$D$41,3,FALSE),"Merchant not found")</f>
        <v>entertainment</v>
      </c>
      <c r="K321" s="12" t="str">
        <f>IFERROR(VLOOKUP($C321,Merchants!$A$2:$D$41,4,FALSE),"Merchant not found")</f>
        <v>East</v>
      </c>
      <c r="L321" s="13" t="str">
        <f t="shared" si="4"/>
        <v>Standard</v>
      </c>
    </row>
    <row r="322" spans="1:12" x14ac:dyDescent="0.3">
      <c r="A322" s="3" t="s">
        <v>711</v>
      </c>
      <c r="B322" s="2">
        <v>283</v>
      </c>
      <c r="C322" s="2">
        <v>9</v>
      </c>
      <c r="D322" s="2" t="s">
        <v>712</v>
      </c>
      <c r="E322" s="2">
        <v>299</v>
      </c>
      <c r="F322" s="3" t="s">
        <v>73</v>
      </c>
      <c r="G322" s="3" t="s">
        <v>70</v>
      </c>
      <c r="H322" s="2">
        <v>78</v>
      </c>
      <c r="I322" s="10" t="str">
        <f>IFERROR(VLOOKUP($C322,Merchants!$A$2:$D$41,2,FALSE),"Merchant not found")</f>
        <v>Merchant_009</v>
      </c>
      <c r="J322" s="10" t="str">
        <f>IFERROR(VLOOKUP($C322,Merchants!$A$2:$D$41,3,FALSE),"Merchant not found")</f>
        <v>ecommerce</v>
      </c>
      <c r="K322" s="10" t="str">
        <f>IFERROR(VLOOKUP($C322,Merchants!$A$2:$D$41,4,FALSE),"Merchant not found")</f>
        <v>North</v>
      </c>
      <c r="L322" s="11" t="str">
        <f t="shared" ref="L322:L385" si="5">IF(AND(SUMPRODUCT(($C$2:$C$548=$C322)*(LEFT($D$2:$D$548,10)=LEFT($D322,10))*$E$2:$E$548)&gt;5000,$K322&lt;&gt;"East"),"High-Value Merchant Day","Standard")</f>
        <v>Standard</v>
      </c>
    </row>
    <row r="323" spans="1:12" x14ac:dyDescent="0.3">
      <c r="A323" s="5" t="s">
        <v>713</v>
      </c>
      <c r="B323" s="4">
        <v>159</v>
      </c>
      <c r="C323" s="4">
        <v>26</v>
      </c>
      <c r="D323" s="4" t="s">
        <v>714</v>
      </c>
      <c r="E323" s="4">
        <v>99</v>
      </c>
      <c r="F323" s="5" t="s">
        <v>73</v>
      </c>
      <c r="G323" s="5" t="s">
        <v>70</v>
      </c>
      <c r="H323" s="4">
        <v>91</v>
      </c>
      <c r="I323" s="12" t="str">
        <f>IFERROR(VLOOKUP($C323,Merchants!$A$2:$D$41,2,FALSE),"Merchant not found")</f>
        <v>Merchant_026</v>
      </c>
      <c r="J323" s="12" t="str">
        <f>IFERROR(VLOOKUP($C323,Merchants!$A$2:$D$41,3,FALSE),"Merchant not found")</f>
        <v>food_delivery</v>
      </c>
      <c r="K323" s="12" t="str">
        <f>IFERROR(VLOOKUP($C323,Merchants!$A$2:$D$41,4,FALSE),"Merchant not found")</f>
        <v>East</v>
      </c>
      <c r="L323" s="13" t="str">
        <f t="shared" si="5"/>
        <v>Standard</v>
      </c>
    </row>
    <row r="324" spans="1:12" x14ac:dyDescent="0.3">
      <c r="A324" s="3" t="s">
        <v>715</v>
      </c>
      <c r="B324" s="2">
        <v>211</v>
      </c>
      <c r="C324" s="2">
        <v>27</v>
      </c>
      <c r="D324" s="2" t="s">
        <v>716</v>
      </c>
      <c r="E324" s="2">
        <v>99</v>
      </c>
      <c r="F324" s="3" t="s">
        <v>69</v>
      </c>
      <c r="G324" s="3" t="s">
        <v>70</v>
      </c>
      <c r="H324" s="2">
        <v>73</v>
      </c>
      <c r="I324" s="10" t="str">
        <f>IFERROR(VLOOKUP($C324,Merchants!$A$2:$D$41,2,FALSE),"Merchant not found")</f>
        <v>Merchant_027</v>
      </c>
      <c r="J324" s="10" t="str">
        <f>IFERROR(VLOOKUP($C324,Merchants!$A$2:$D$41,3,FALSE),"Merchant not found")</f>
        <v>ecommerce</v>
      </c>
      <c r="K324" s="10" t="str">
        <f>IFERROR(VLOOKUP($C324,Merchants!$A$2:$D$41,4,FALSE),"Merchant not found")</f>
        <v>North</v>
      </c>
      <c r="L324" s="11" t="str">
        <f t="shared" si="5"/>
        <v>Standard</v>
      </c>
    </row>
    <row r="325" spans="1:12" x14ac:dyDescent="0.3">
      <c r="A325" s="5" t="s">
        <v>717</v>
      </c>
      <c r="B325" s="4">
        <v>329</v>
      </c>
      <c r="C325" s="4">
        <v>5</v>
      </c>
      <c r="D325" s="4" t="s">
        <v>718</v>
      </c>
      <c r="E325" s="4">
        <v>499</v>
      </c>
      <c r="F325" s="5" t="s">
        <v>78</v>
      </c>
      <c r="G325" s="5" t="s">
        <v>70</v>
      </c>
      <c r="H325" s="4">
        <v>57</v>
      </c>
      <c r="I325" s="12" t="str">
        <f>IFERROR(VLOOKUP($C325,Merchants!$A$2:$D$41,2,FALSE),"Merchant not found")</f>
        <v>Merchant_005</v>
      </c>
      <c r="J325" s="12" t="str">
        <f>IFERROR(VLOOKUP($C325,Merchants!$A$2:$D$41,3,FALSE),"Merchant not found")</f>
        <v>recharge</v>
      </c>
      <c r="K325" s="12" t="str">
        <f>IFERROR(VLOOKUP($C325,Merchants!$A$2:$D$41,4,FALSE),"Merchant not found")</f>
        <v>South</v>
      </c>
      <c r="L325" s="13" t="str">
        <f t="shared" si="5"/>
        <v>Standard</v>
      </c>
    </row>
    <row r="326" spans="1:12" x14ac:dyDescent="0.3">
      <c r="A326" s="3" t="s">
        <v>719</v>
      </c>
      <c r="B326" s="2">
        <v>177</v>
      </c>
      <c r="C326" s="2">
        <v>9</v>
      </c>
      <c r="D326" s="2" t="s">
        <v>720</v>
      </c>
      <c r="E326" s="2">
        <v>99</v>
      </c>
      <c r="F326" s="3" t="s">
        <v>73</v>
      </c>
      <c r="G326" s="3" t="s">
        <v>70</v>
      </c>
      <c r="H326" s="2">
        <v>99</v>
      </c>
      <c r="I326" s="10" t="str">
        <f>IFERROR(VLOOKUP($C326,Merchants!$A$2:$D$41,2,FALSE),"Merchant not found")</f>
        <v>Merchant_009</v>
      </c>
      <c r="J326" s="10" t="str">
        <f>IFERROR(VLOOKUP($C326,Merchants!$A$2:$D$41,3,FALSE),"Merchant not found")</f>
        <v>ecommerce</v>
      </c>
      <c r="K326" s="10" t="str">
        <f>IFERROR(VLOOKUP($C326,Merchants!$A$2:$D$41,4,FALSE),"Merchant not found")</f>
        <v>North</v>
      </c>
      <c r="L326" s="11" t="str">
        <f t="shared" si="5"/>
        <v>Standard</v>
      </c>
    </row>
    <row r="327" spans="1:12" x14ac:dyDescent="0.3">
      <c r="A327" s="5" t="s">
        <v>721</v>
      </c>
      <c r="B327" s="4">
        <v>94</v>
      </c>
      <c r="C327" s="4">
        <v>9</v>
      </c>
      <c r="D327" s="4" t="s">
        <v>722</v>
      </c>
      <c r="E327" s="4">
        <v>299</v>
      </c>
      <c r="F327" s="5" t="s">
        <v>73</v>
      </c>
      <c r="G327" s="5" t="s">
        <v>70</v>
      </c>
      <c r="H327" s="4">
        <v>55</v>
      </c>
      <c r="I327" s="12" t="str">
        <f>IFERROR(VLOOKUP($C327,Merchants!$A$2:$D$41,2,FALSE),"Merchant not found")</f>
        <v>Merchant_009</v>
      </c>
      <c r="J327" s="12" t="str">
        <f>IFERROR(VLOOKUP($C327,Merchants!$A$2:$D$41,3,FALSE),"Merchant not found")</f>
        <v>ecommerce</v>
      </c>
      <c r="K327" s="12" t="str">
        <f>IFERROR(VLOOKUP($C327,Merchants!$A$2:$D$41,4,FALSE),"Merchant not found")</f>
        <v>North</v>
      </c>
      <c r="L327" s="13" t="str">
        <f t="shared" si="5"/>
        <v>Standard</v>
      </c>
    </row>
    <row r="328" spans="1:12" x14ac:dyDescent="0.3">
      <c r="A328" s="3" t="s">
        <v>723</v>
      </c>
      <c r="B328" s="2">
        <v>64</v>
      </c>
      <c r="C328" s="2">
        <v>34</v>
      </c>
      <c r="D328" s="2" t="s">
        <v>724</v>
      </c>
      <c r="E328" s="2">
        <v>299</v>
      </c>
      <c r="F328" s="3" t="s">
        <v>73</v>
      </c>
      <c r="G328" s="3" t="s">
        <v>70</v>
      </c>
      <c r="H328" s="2">
        <v>19</v>
      </c>
      <c r="I328" s="10" t="str">
        <f>IFERROR(VLOOKUP($C328,Merchants!$A$2:$D$41,2,FALSE),"Merchant not found")</f>
        <v>Merchant_034</v>
      </c>
      <c r="J328" s="10" t="str">
        <f>IFERROR(VLOOKUP($C328,Merchants!$A$2:$D$41,3,FALSE),"Merchant not found")</f>
        <v>travel</v>
      </c>
      <c r="K328" s="10" t="str">
        <f>IFERROR(VLOOKUP($C328,Merchants!$A$2:$D$41,4,FALSE),"Merchant not found")</f>
        <v>South</v>
      </c>
      <c r="L328" s="11" t="str">
        <f t="shared" si="5"/>
        <v>Standard</v>
      </c>
    </row>
    <row r="329" spans="1:12" x14ac:dyDescent="0.3">
      <c r="A329" s="5" t="s">
        <v>725</v>
      </c>
      <c r="B329" s="4">
        <v>166</v>
      </c>
      <c r="C329" s="4">
        <v>15</v>
      </c>
      <c r="D329" s="4" t="s">
        <v>726</v>
      </c>
      <c r="E329" s="4">
        <v>49</v>
      </c>
      <c r="F329" s="5" t="s">
        <v>73</v>
      </c>
      <c r="G329" s="5" t="s">
        <v>70</v>
      </c>
      <c r="H329" s="4">
        <v>44</v>
      </c>
      <c r="I329" s="12" t="str">
        <f>IFERROR(VLOOKUP($C329,Merchants!$A$2:$D$41,2,FALSE),"Merchant not found")</f>
        <v>Merchant_015</v>
      </c>
      <c r="J329" s="12" t="str">
        <f>IFERROR(VLOOKUP($C329,Merchants!$A$2:$D$41,3,FALSE),"Merchant not found")</f>
        <v>travel</v>
      </c>
      <c r="K329" s="12" t="str">
        <f>IFERROR(VLOOKUP($C329,Merchants!$A$2:$D$41,4,FALSE),"Merchant not found")</f>
        <v>North</v>
      </c>
      <c r="L329" s="13" t="str">
        <f t="shared" si="5"/>
        <v>Standard</v>
      </c>
    </row>
    <row r="330" spans="1:12" x14ac:dyDescent="0.3">
      <c r="A330" s="3" t="s">
        <v>727</v>
      </c>
      <c r="B330" s="2">
        <v>41</v>
      </c>
      <c r="C330" s="2">
        <v>17</v>
      </c>
      <c r="D330" s="2" t="s">
        <v>728</v>
      </c>
      <c r="E330" s="2">
        <v>299</v>
      </c>
      <c r="F330" s="3" t="s">
        <v>69</v>
      </c>
      <c r="G330" s="3" t="s">
        <v>70</v>
      </c>
      <c r="H330" s="2">
        <v>25</v>
      </c>
      <c r="I330" s="10" t="str">
        <f>IFERROR(VLOOKUP($C330,Merchants!$A$2:$D$41,2,FALSE),"Merchant not found")</f>
        <v>Merchant_017</v>
      </c>
      <c r="J330" s="10" t="str">
        <f>IFERROR(VLOOKUP($C330,Merchants!$A$2:$D$41,3,FALSE),"Merchant not found")</f>
        <v>grocery</v>
      </c>
      <c r="K330" s="10" t="str">
        <f>IFERROR(VLOOKUP($C330,Merchants!$A$2:$D$41,4,FALSE),"Merchant not found")</f>
        <v>North</v>
      </c>
      <c r="L330" s="11" t="str">
        <f t="shared" si="5"/>
        <v>Standard</v>
      </c>
    </row>
    <row r="331" spans="1:12" x14ac:dyDescent="0.3">
      <c r="A331" s="5" t="s">
        <v>729</v>
      </c>
      <c r="B331" s="4">
        <v>65</v>
      </c>
      <c r="C331" s="4">
        <v>20</v>
      </c>
      <c r="D331" s="4" t="s">
        <v>730</v>
      </c>
      <c r="E331" s="4">
        <v>99</v>
      </c>
      <c r="F331" s="5" t="s">
        <v>95</v>
      </c>
      <c r="G331" s="5" t="s">
        <v>70</v>
      </c>
      <c r="H331" s="4">
        <v>78</v>
      </c>
      <c r="I331" s="12" t="str">
        <f>IFERROR(VLOOKUP($C331,Merchants!$A$2:$D$41,2,FALSE),"Merchant not found")</f>
        <v>Merchant_020</v>
      </c>
      <c r="J331" s="12" t="str">
        <f>IFERROR(VLOOKUP($C331,Merchants!$A$2:$D$41,3,FALSE),"Merchant not found")</f>
        <v>food_delivery</v>
      </c>
      <c r="K331" s="12" t="str">
        <f>IFERROR(VLOOKUP($C331,Merchants!$A$2:$D$41,4,FALSE),"Merchant not found")</f>
        <v>East</v>
      </c>
      <c r="L331" s="13" t="str">
        <f t="shared" si="5"/>
        <v>Standard</v>
      </c>
    </row>
    <row r="332" spans="1:12" x14ac:dyDescent="0.3">
      <c r="A332" s="3" t="s">
        <v>731</v>
      </c>
      <c r="B332" s="2">
        <v>329</v>
      </c>
      <c r="C332" s="2">
        <v>11</v>
      </c>
      <c r="D332" s="2" t="s">
        <v>732</v>
      </c>
      <c r="E332" s="2">
        <v>499</v>
      </c>
      <c r="F332" s="3" t="s">
        <v>73</v>
      </c>
      <c r="G332" s="3" t="s">
        <v>70</v>
      </c>
      <c r="H332" s="2">
        <v>75</v>
      </c>
      <c r="I332" s="10" t="str">
        <f>IFERROR(VLOOKUP($C332,Merchants!$A$2:$D$41,2,FALSE),"Merchant not found")</f>
        <v>Merchant_011</v>
      </c>
      <c r="J332" s="10" t="str">
        <f>IFERROR(VLOOKUP($C332,Merchants!$A$2:$D$41,3,FALSE),"Merchant not found")</f>
        <v>ecommerce</v>
      </c>
      <c r="K332" s="10" t="str">
        <f>IFERROR(VLOOKUP($C332,Merchants!$A$2:$D$41,4,FALSE),"Merchant not found")</f>
        <v>North</v>
      </c>
      <c r="L332" s="11" t="str">
        <f t="shared" si="5"/>
        <v>Standard</v>
      </c>
    </row>
    <row r="333" spans="1:12" x14ac:dyDescent="0.3">
      <c r="A333" s="5" t="s">
        <v>733</v>
      </c>
      <c r="B333" s="4">
        <v>338</v>
      </c>
      <c r="C333" s="4">
        <v>40</v>
      </c>
      <c r="D333" s="4" t="s">
        <v>734</v>
      </c>
      <c r="E333" s="4">
        <v>149</v>
      </c>
      <c r="F333" s="5" t="s">
        <v>73</v>
      </c>
      <c r="G333" s="5" t="s">
        <v>70</v>
      </c>
      <c r="H333" s="4">
        <v>92</v>
      </c>
      <c r="I333" s="12" t="str">
        <f>IFERROR(VLOOKUP($C333,Merchants!$A$2:$D$41,2,FALSE),"Merchant not found")</f>
        <v>Merchant_040</v>
      </c>
      <c r="J333" s="12" t="str">
        <f>IFERROR(VLOOKUP($C333,Merchants!$A$2:$D$41,3,FALSE),"Merchant not found")</f>
        <v>entertainment</v>
      </c>
      <c r="K333" s="12" t="str">
        <f>IFERROR(VLOOKUP($C333,Merchants!$A$2:$D$41,4,FALSE),"Merchant not found")</f>
        <v>South</v>
      </c>
      <c r="L333" s="13" t="str">
        <f t="shared" si="5"/>
        <v>Standard</v>
      </c>
    </row>
    <row r="334" spans="1:12" x14ac:dyDescent="0.3">
      <c r="A334" s="3" t="s">
        <v>735</v>
      </c>
      <c r="B334" s="2">
        <v>289</v>
      </c>
      <c r="C334" s="2">
        <v>3</v>
      </c>
      <c r="D334" s="2" t="s">
        <v>736</v>
      </c>
      <c r="E334" s="2">
        <v>49</v>
      </c>
      <c r="F334" s="3" t="s">
        <v>78</v>
      </c>
      <c r="G334" s="3" t="s">
        <v>70</v>
      </c>
      <c r="H334" s="2">
        <v>3</v>
      </c>
      <c r="I334" s="10" t="str">
        <f>IFERROR(VLOOKUP($C334,Merchants!$A$2:$D$41,2,FALSE),"Merchant not found")</f>
        <v>Merchant_003</v>
      </c>
      <c r="J334" s="10" t="str">
        <f>IFERROR(VLOOKUP($C334,Merchants!$A$2:$D$41,3,FALSE),"Merchant not found")</f>
        <v>grocery</v>
      </c>
      <c r="K334" s="10" t="str">
        <f>IFERROR(VLOOKUP($C334,Merchants!$A$2:$D$41,4,FALSE),"Merchant not found")</f>
        <v>East</v>
      </c>
      <c r="L334" s="11" t="str">
        <f t="shared" si="5"/>
        <v>Standard</v>
      </c>
    </row>
    <row r="335" spans="1:12" x14ac:dyDescent="0.3">
      <c r="A335" s="5" t="s">
        <v>737</v>
      </c>
      <c r="B335" s="4">
        <v>296</v>
      </c>
      <c r="C335" s="4">
        <v>17</v>
      </c>
      <c r="D335" s="4" t="s">
        <v>738</v>
      </c>
      <c r="E335" s="4">
        <v>99</v>
      </c>
      <c r="F335" s="5" t="s">
        <v>73</v>
      </c>
      <c r="G335" s="5" t="s">
        <v>70</v>
      </c>
      <c r="H335" s="4">
        <v>83</v>
      </c>
      <c r="I335" s="12" t="str">
        <f>IFERROR(VLOOKUP($C335,Merchants!$A$2:$D$41,2,FALSE),"Merchant not found")</f>
        <v>Merchant_017</v>
      </c>
      <c r="J335" s="12" t="str">
        <f>IFERROR(VLOOKUP($C335,Merchants!$A$2:$D$41,3,FALSE),"Merchant not found")</f>
        <v>grocery</v>
      </c>
      <c r="K335" s="12" t="str">
        <f>IFERROR(VLOOKUP($C335,Merchants!$A$2:$D$41,4,FALSE),"Merchant not found")</f>
        <v>North</v>
      </c>
      <c r="L335" s="13" t="str">
        <f t="shared" si="5"/>
        <v>Standard</v>
      </c>
    </row>
    <row r="336" spans="1:12" x14ac:dyDescent="0.3">
      <c r="A336" s="3" t="s">
        <v>739</v>
      </c>
      <c r="B336" s="2">
        <v>317</v>
      </c>
      <c r="C336" s="2">
        <v>2</v>
      </c>
      <c r="D336" s="2" t="s">
        <v>740</v>
      </c>
      <c r="E336" s="2">
        <v>499</v>
      </c>
      <c r="F336" s="3" t="s">
        <v>95</v>
      </c>
      <c r="G336" s="3" t="s">
        <v>70</v>
      </c>
      <c r="H336" s="2">
        <v>63</v>
      </c>
      <c r="I336" s="10" t="str">
        <f>IFERROR(VLOOKUP($C336,Merchants!$A$2:$D$41,2,FALSE),"Merchant not found")</f>
        <v>Merchant_002</v>
      </c>
      <c r="J336" s="10" t="str">
        <f>IFERROR(VLOOKUP($C336,Merchants!$A$2:$D$41,3,FALSE),"Merchant not found")</f>
        <v>grocery</v>
      </c>
      <c r="K336" s="10" t="str">
        <f>IFERROR(VLOOKUP($C336,Merchants!$A$2:$D$41,4,FALSE),"Merchant not found")</f>
        <v>West</v>
      </c>
      <c r="L336" s="11" t="str">
        <f t="shared" si="5"/>
        <v>Standard</v>
      </c>
    </row>
    <row r="337" spans="1:12" x14ac:dyDescent="0.3">
      <c r="A337" s="5" t="s">
        <v>741</v>
      </c>
      <c r="B337" s="4">
        <v>149</v>
      </c>
      <c r="C337" s="4">
        <v>20</v>
      </c>
      <c r="D337" s="4" t="s">
        <v>742</v>
      </c>
      <c r="E337" s="4">
        <v>499</v>
      </c>
      <c r="F337" s="5" t="s">
        <v>95</v>
      </c>
      <c r="G337" s="5" t="s">
        <v>70</v>
      </c>
      <c r="H337" s="4">
        <v>61</v>
      </c>
      <c r="I337" s="12" t="str">
        <f>IFERROR(VLOOKUP($C337,Merchants!$A$2:$D$41,2,FALSE),"Merchant not found")</f>
        <v>Merchant_020</v>
      </c>
      <c r="J337" s="12" t="str">
        <f>IFERROR(VLOOKUP($C337,Merchants!$A$2:$D$41,3,FALSE),"Merchant not found")</f>
        <v>food_delivery</v>
      </c>
      <c r="K337" s="12" t="str">
        <f>IFERROR(VLOOKUP($C337,Merchants!$A$2:$D$41,4,FALSE),"Merchant not found")</f>
        <v>East</v>
      </c>
      <c r="L337" s="13" t="str">
        <f t="shared" si="5"/>
        <v>Standard</v>
      </c>
    </row>
    <row r="338" spans="1:12" x14ac:dyDescent="0.3">
      <c r="A338" s="3" t="s">
        <v>743</v>
      </c>
      <c r="B338" s="2">
        <v>153</v>
      </c>
      <c r="C338" s="2">
        <v>30</v>
      </c>
      <c r="D338" s="2" t="s">
        <v>744</v>
      </c>
      <c r="E338" s="2">
        <v>299</v>
      </c>
      <c r="F338" s="3" t="s">
        <v>73</v>
      </c>
      <c r="G338" s="3" t="s">
        <v>70</v>
      </c>
      <c r="H338" s="2">
        <v>9</v>
      </c>
      <c r="I338" s="10" t="str">
        <f>IFERROR(VLOOKUP($C338,Merchants!$A$2:$D$41,2,FALSE),"Merchant not found")</f>
        <v>Merchant_030</v>
      </c>
      <c r="J338" s="10" t="str">
        <f>IFERROR(VLOOKUP($C338,Merchants!$A$2:$D$41,3,FALSE),"Merchant not found")</f>
        <v>travel</v>
      </c>
      <c r="K338" s="10" t="str">
        <f>IFERROR(VLOOKUP($C338,Merchants!$A$2:$D$41,4,FALSE),"Merchant not found")</f>
        <v>West</v>
      </c>
      <c r="L338" s="11" t="str">
        <f t="shared" si="5"/>
        <v>Standard</v>
      </c>
    </row>
    <row r="339" spans="1:12" x14ac:dyDescent="0.3">
      <c r="A339" s="5" t="s">
        <v>745</v>
      </c>
      <c r="B339" s="4">
        <v>226</v>
      </c>
      <c r="C339" s="4">
        <v>27</v>
      </c>
      <c r="D339" s="4" t="s">
        <v>746</v>
      </c>
      <c r="E339" s="4">
        <v>2999</v>
      </c>
      <c r="F339" s="5" t="s">
        <v>73</v>
      </c>
      <c r="G339" s="5" t="s">
        <v>121</v>
      </c>
      <c r="H339" s="4">
        <v>61</v>
      </c>
      <c r="I339" s="12" t="str">
        <f>IFERROR(VLOOKUP($C339,Merchants!$A$2:$D$41,2,FALSE),"Merchant not found")</f>
        <v>Merchant_027</v>
      </c>
      <c r="J339" s="12" t="str">
        <f>IFERROR(VLOOKUP($C339,Merchants!$A$2:$D$41,3,FALSE),"Merchant not found")</f>
        <v>ecommerce</v>
      </c>
      <c r="K339" s="12" t="str">
        <f>IFERROR(VLOOKUP($C339,Merchants!$A$2:$D$41,4,FALSE),"Merchant not found")</f>
        <v>North</v>
      </c>
      <c r="L339" s="13" t="str">
        <f t="shared" si="5"/>
        <v>Standard</v>
      </c>
    </row>
    <row r="340" spans="1:12" x14ac:dyDescent="0.3">
      <c r="A340" s="3" t="s">
        <v>747</v>
      </c>
      <c r="B340" s="2">
        <v>311</v>
      </c>
      <c r="C340" s="2">
        <v>10</v>
      </c>
      <c r="D340" s="2" t="s">
        <v>748</v>
      </c>
      <c r="E340" s="2">
        <v>2999</v>
      </c>
      <c r="F340" s="3" t="s">
        <v>73</v>
      </c>
      <c r="G340" s="3" t="s">
        <v>70</v>
      </c>
      <c r="H340" s="2">
        <v>40</v>
      </c>
      <c r="I340" s="10" t="str">
        <f>IFERROR(VLOOKUP($C340,Merchants!$A$2:$D$41,2,FALSE),"Merchant not found")</f>
        <v>Merchant_010</v>
      </c>
      <c r="J340" s="10" t="str">
        <f>IFERROR(VLOOKUP($C340,Merchants!$A$2:$D$41,3,FALSE),"Merchant not found")</f>
        <v>grocery</v>
      </c>
      <c r="K340" s="10" t="str">
        <f>IFERROR(VLOOKUP($C340,Merchants!$A$2:$D$41,4,FALSE),"Merchant not found")</f>
        <v>West</v>
      </c>
      <c r="L340" s="11" t="str">
        <f t="shared" si="5"/>
        <v>Standard</v>
      </c>
    </row>
    <row r="341" spans="1:12" x14ac:dyDescent="0.3">
      <c r="A341" s="5" t="s">
        <v>749</v>
      </c>
      <c r="B341" s="4">
        <v>177</v>
      </c>
      <c r="C341" s="4">
        <v>26</v>
      </c>
      <c r="D341" s="4" t="s">
        <v>750</v>
      </c>
      <c r="E341" s="4">
        <v>1499</v>
      </c>
      <c r="F341" s="5" t="s">
        <v>73</v>
      </c>
      <c r="G341" s="5" t="s">
        <v>70</v>
      </c>
      <c r="H341" s="4">
        <v>16</v>
      </c>
      <c r="I341" s="12" t="str">
        <f>IFERROR(VLOOKUP($C341,Merchants!$A$2:$D$41,2,FALSE),"Merchant not found")</f>
        <v>Merchant_026</v>
      </c>
      <c r="J341" s="12" t="str">
        <f>IFERROR(VLOOKUP($C341,Merchants!$A$2:$D$41,3,FALSE),"Merchant not found")</f>
        <v>food_delivery</v>
      </c>
      <c r="K341" s="12" t="str">
        <f>IFERROR(VLOOKUP($C341,Merchants!$A$2:$D$41,4,FALSE),"Merchant not found")</f>
        <v>East</v>
      </c>
      <c r="L341" s="13" t="str">
        <f t="shared" si="5"/>
        <v>Standard</v>
      </c>
    </row>
    <row r="342" spans="1:12" x14ac:dyDescent="0.3">
      <c r="A342" s="3" t="s">
        <v>751</v>
      </c>
      <c r="B342" s="2">
        <v>288</v>
      </c>
      <c r="C342" s="2">
        <v>7</v>
      </c>
      <c r="D342" s="2" t="s">
        <v>752</v>
      </c>
      <c r="E342" s="2">
        <v>99</v>
      </c>
      <c r="F342" s="3" t="s">
        <v>78</v>
      </c>
      <c r="G342" s="3" t="s">
        <v>70</v>
      </c>
      <c r="H342" s="2">
        <v>40</v>
      </c>
      <c r="I342" s="10" t="str">
        <f>IFERROR(VLOOKUP($C342,Merchants!$A$2:$D$41,2,FALSE),"Merchant not found")</f>
        <v>Merchant_007</v>
      </c>
      <c r="J342" s="10" t="str">
        <f>IFERROR(VLOOKUP($C342,Merchants!$A$2:$D$41,3,FALSE),"Merchant not found")</f>
        <v>food_delivery</v>
      </c>
      <c r="K342" s="10" t="str">
        <f>IFERROR(VLOOKUP($C342,Merchants!$A$2:$D$41,4,FALSE),"Merchant not found")</f>
        <v>East</v>
      </c>
      <c r="L342" s="11" t="str">
        <f t="shared" si="5"/>
        <v>Standard</v>
      </c>
    </row>
    <row r="343" spans="1:12" x14ac:dyDescent="0.3">
      <c r="A343" s="5" t="s">
        <v>753</v>
      </c>
      <c r="B343" s="4">
        <v>137</v>
      </c>
      <c r="C343" s="4">
        <v>29</v>
      </c>
      <c r="D343" s="4" t="s">
        <v>754</v>
      </c>
      <c r="E343" s="4">
        <v>2999</v>
      </c>
      <c r="F343" s="5" t="s">
        <v>73</v>
      </c>
      <c r="G343" s="5" t="s">
        <v>96</v>
      </c>
      <c r="H343" s="4">
        <v>31</v>
      </c>
      <c r="I343" s="12" t="str">
        <f>IFERROR(VLOOKUP($C343,Merchants!$A$2:$D$41,2,FALSE),"Merchant not found")</f>
        <v>Merchant_029</v>
      </c>
      <c r="J343" s="12" t="str">
        <f>IFERROR(VLOOKUP($C343,Merchants!$A$2:$D$41,3,FALSE),"Merchant not found")</f>
        <v>ecommerce</v>
      </c>
      <c r="K343" s="12" t="str">
        <f>IFERROR(VLOOKUP($C343,Merchants!$A$2:$D$41,4,FALSE),"Merchant not found")</f>
        <v>North</v>
      </c>
      <c r="L343" s="13" t="str">
        <f t="shared" si="5"/>
        <v>Standard</v>
      </c>
    </row>
    <row r="344" spans="1:12" x14ac:dyDescent="0.3">
      <c r="A344" s="3" t="s">
        <v>755</v>
      </c>
      <c r="B344" s="2">
        <v>149</v>
      </c>
      <c r="C344" s="2">
        <v>25</v>
      </c>
      <c r="D344" s="2" t="s">
        <v>756</v>
      </c>
      <c r="E344" s="2">
        <v>1499</v>
      </c>
      <c r="F344" s="3" t="s">
        <v>73</v>
      </c>
      <c r="G344" s="3" t="s">
        <v>70</v>
      </c>
      <c r="H344" s="2">
        <v>78</v>
      </c>
      <c r="I344" s="10" t="str">
        <f>IFERROR(VLOOKUP($C344,Merchants!$A$2:$D$41,2,FALSE),"Merchant not found")</f>
        <v>Merchant_025</v>
      </c>
      <c r="J344" s="10" t="str">
        <f>IFERROR(VLOOKUP($C344,Merchants!$A$2:$D$41,3,FALSE),"Merchant not found")</f>
        <v>travel</v>
      </c>
      <c r="K344" s="10" t="str">
        <f>IFERROR(VLOOKUP($C344,Merchants!$A$2:$D$41,4,FALSE),"Merchant not found")</f>
        <v>South</v>
      </c>
      <c r="L344" s="11" t="str">
        <f t="shared" si="5"/>
        <v>Standard</v>
      </c>
    </row>
    <row r="345" spans="1:12" x14ac:dyDescent="0.3">
      <c r="A345" s="5" t="s">
        <v>757</v>
      </c>
      <c r="B345" s="4">
        <v>82</v>
      </c>
      <c r="C345" s="4">
        <v>21</v>
      </c>
      <c r="D345" s="4" t="s">
        <v>758</v>
      </c>
      <c r="E345" s="4">
        <v>49</v>
      </c>
      <c r="F345" s="5" t="s">
        <v>69</v>
      </c>
      <c r="G345" s="5" t="s">
        <v>70</v>
      </c>
      <c r="H345" s="4">
        <v>73</v>
      </c>
      <c r="I345" s="12" t="str">
        <f>IFERROR(VLOOKUP($C345,Merchants!$A$2:$D$41,2,FALSE),"Merchant not found")</f>
        <v>Merchant_021</v>
      </c>
      <c r="J345" s="12" t="str">
        <f>IFERROR(VLOOKUP($C345,Merchants!$A$2:$D$41,3,FALSE),"Merchant not found")</f>
        <v>food_delivery</v>
      </c>
      <c r="K345" s="12" t="str">
        <f>IFERROR(VLOOKUP($C345,Merchants!$A$2:$D$41,4,FALSE),"Merchant not found")</f>
        <v>East</v>
      </c>
      <c r="L345" s="13" t="str">
        <f t="shared" si="5"/>
        <v>Standard</v>
      </c>
    </row>
    <row r="346" spans="1:12" x14ac:dyDescent="0.3">
      <c r="A346" s="3" t="s">
        <v>759</v>
      </c>
      <c r="B346" s="2">
        <v>82</v>
      </c>
      <c r="C346" s="2">
        <v>32</v>
      </c>
      <c r="D346" s="2" t="s">
        <v>760</v>
      </c>
      <c r="E346" s="2">
        <v>49</v>
      </c>
      <c r="F346" s="3" t="s">
        <v>73</v>
      </c>
      <c r="G346" s="3" t="s">
        <v>70</v>
      </c>
      <c r="H346" s="2">
        <v>65</v>
      </c>
      <c r="I346" s="10" t="str">
        <f>IFERROR(VLOOKUP($C346,Merchants!$A$2:$D$41,2,FALSE),"Merchant not found")</f>
        <v>Merchant_032</v>
      </c>
      <c r="J346" s="10" t="str">
        <f>IFERROR(VLOOKUP($C346,Merchants!$A$2:$D$41,3,FALSE),"Merchant not found")</f>
        <v>food_delivery</v>
      </c>
      <c r="K346" s="10" t="str">
        <f>IFERROR(VLOOKUP($C346,Merchants!$A$2:$D$41,4,FALSE),"Merchant not found")</f>
        <v>West</v>
      </c>
      <c r="L346" s="11" t="str">
        <f t="shared" si="5"/>
        <v>Standard</v>
      </c>
    </row>
    <row r="347" spans="1:12" x14ac:dyDescent="0.3">
      <c r="A347" s="5" t="s">
        <v>761</v>
      </c>
      <c r="B347" s="4">
        <v>158</v>
      </c>
      <c r="C347" s="4">
        <v>32</v>
      </c>
      <c r="D347" s="4" t="s">
        <v>762</v>
      </c>
      <c r="E347" s="4">
        <v>99</v>
      </c>
      <c r="F347" s="5" t="s">
        <v>69</v>
      </c>
      <c r="G347" s="5" t="s">
        <v>70</v>
      </c>
      <c r="H347" s="4">
        <v>2</v>
      </c>
      <c r="I347" s="12" t="str">
        <f>IFERROR(VLOOKUP($C347,Merchants!$A$2:$D$41,2,FALSE),"Merchant not found")</f>
        <v>Merchant_032</v>
      </c>
      <c r="J347" s="12" t="str">
        <f>IFERROR(VLOOKUP($C347,Merchants!$A$2:$D$41,3,FALSE),"Merchant not found")</f>
        <v>food_delivery</v>
      </c>
      <c r="K347" s="12" t="str">
        <f>IFERROR(VLOOKUP($C347,Merchants!$A$2:$D$41,4,FALSE),"Merchant not found")</f>
        <v>West</v>
      </c>
      <c r="L347" s="13" t="str">
        <f t="shared" si="5"/>
        <v>Standard</v>
      </c>
    </row>
    <row r="348" spans="1:12" x14ac:dyDescent="0.3">
      <c r="A348" s="3" t="s">
        <v>763</v>
      </c>
      <c r="B348" s="2">
        <v>235</v>
      </c>
      <c r="C348" s="2">
        <v>16</v>
      </c>
      <c r="D348" s="2" t="s">
        <v>764</v>
      </c>
      <c r="E348" s="2">
        <v>99</v>
      </c>
      <c r="F348" s="3" t="s">
        <v>73</v>
      </c>
      <c r="G348" s="3" t="s">
        <v>70</v>
      </c>
      <c r="H348" s="2">
        <v>27</v>
      </c>
      <c r="I348" s="10" t="str">
        <f>IFERROR(VLOOKUP($C348,Merchants!$A$2:$D$41,2,FALSE),"Merchant not found")</f>
        <v>Merchant_016</v>
      </c>
      <c r="J348" s="10" t="str">
        <f>IFERROR(VLOOKUP($C348,Merchants!$A$2:$D$41,3,FALSE),"Merchant not found")</f>
        <v>bill_payment</v>
      </c>
      <c r="K348" s="10" t="str">
        <f>IFERROR(VLOOKUP($C348,Merchants!$A$2:$D$41,4,FALSE),"Merchant not found")</f>
        <v>West</v>
      </c>
      <c r="L348" s="11" t="str">
        <f t="shared" si="5"/>
        <v>Standard</v>
      </c>
    </row>
    <row r="349" spans="1:12" x14ac:dyDescent="0.3">
      <c r="A349" s="5" t="s">
        <v>765</v>
      </c>
      <c r="B349" s="4">
        <v>26</v>
      </c>
      <c r="C349" s="4">
        <v>19</v>
      </c>
      <c r="D349" s="4" t="s">
        <v>766</v>
      </c>
      <c r="E349" s="4">
        <v>99</v>
      </c>
      <c r="F349" s="5" t="s">
        <v>69</v>
      </c>
      <c r="G349" s="5" t="s">
        <v>70</v>
      </c>
      <c r="H349" s="4">
        <v>63</v>
      </c>
      <c r="I349" s="12" t="str">
        <f>IFERROR(VLOOKUP($C349,Merchants!$A$2:$D$41,2,FALSE),"Merchant not found")</f>
        <v>Merchant_019</v>
      </c>
      <c r="J349" s="12" t="str">
        <f>IFERROR(VLOOKUP($C349,Merchants!$A$2:$D$41,3,FALSE),"Merchant not found")</f>
        <v>grocery</v>
      </c>
      <c r="K349" s="12" t="str">
        <f>IFERROR(VLOOKUP($C349,Merchants!$A$2:$D$41,4,FALSE),"Merchant not found")</f>
        <v>North</v>
      </c>
      <c r="L349" s="13" t="str">
        <f t="shared" si="5"/>
        <v>Standard</v>
      </c>
    </row>
    <row r="350" spans="1:12" x14ac:dyDescent="0.3">
      <c r="A350" s="3" t="s">
        <v>767</v>
      </c>
      <c r="B350" s="2">
        <v>241</v>
      </c>
      <c r="C350" s="2">
        <v>19</v>
      </c>
      <c r="D350" s="2" t="s">
        <v>768</v>
      </c>
      <c r="E350" s="2">
        <v>299</v>
      </c>
      <c r="F350" s="3" t="s">
        <v>73</v>
      </c>
      <c r="G350" s="3" t="s">
        <v>70</v>
      </c>
      <c r="H350" s="2">
        <v>68</v>
      </c>
      <c r="I350" s="10" t="str">
        <f>IFERROR(VLOOKUP($C350,Merchants!$A$2:$D$41,2,FALSE),"Merchant not found")</f>
        <v>Merchant_019</v>
      </c>
      <c r="J350" s="10" t="str">
        <f>IFERROR(VLOOKUP($C350,Merchants!$A$2:$D$41,3,FALSE),"Merchant not found")</f>
        <v>grocery</v>
      </c>
      <c r="K350" s="10" t="str">
        <f>IFERROR(VLOOKUP($C350,Merchants!$A$2:$D$41,4,FALSE),"Merchant not found")</f>
        <v>North</v>
      </c>
      <c r="L350" s="11" t="str">
        <f t="shared" si="5"/>
        <v>Standard</v>
      </c>
    </row>
    <row r="351" spans="1:12" x14ac:dyDescent="0.3">
      <c r="A351" s="5" t="s">
        <v>769</v>
      </c>
      <c r="B351" s="4">
        <v>69</v>
      </c>
      <c r="C351" s="4">
        <v>17</v>
      </c>
      <c r="D351" s="4" t="s">
        <v>770</v>
      </c>
      <c r="E351" s="4">
        <v>1499</v>
      </c>
      <c r="F351" s="5" t="s">
        <v>73</v>
      </c>
      <c r="G351" s="5" t="s">
        <v>70</v>
      </c>
      <c r="H351" s="4">
        <v>93</v>
      </c>
      <c r="I351" s="12" t="str">
        <f>IFERROR(VLOOKUP($C351,Merchants!$A$2:$D$41,2,FALSE),"Merchant not found")</f>
        <v>Merchant_017</v>
      </c>
      <c r="J351" s="12" t="str">
        <f>IFERROR(VLOOKUP($C351,Merchants!$A$2:$D$41,3,FALSE),"Merchant not found")</f>
        <v>grocery</v>
      </c>
      <c r="K351" s="12" t="str">
        <f>IFERROR(VLOOKUP($C351,Merchants!$A$2:$D$41,4,FALSE),"Merchant not found")</f>
        <v>North</v>
      </c>
      <c r="L351" s="13" t="str">
        <f t="shared" si="5"/>
        <v>Standard</v>
      </c>
    </row>
    <row r="352" spans="1:12" x14ac:dyDescent="0.3">
      <c r="A352" s="3" t="s">
        <v>771</v>
      </c>
      <c r="B352" s="2">
        <v>24</v>
      </c>
      <c r="C352" s="2">
        <v>26</v>
      </c>
      <c r="D352" s="2" t="s">
        <v>772</v>
      </c>
      <c r="E352" s="2">
        <v>299</v>
      </c>
      <c r="F352" s="3" t="s">
        <v>78</v>
      </c>
      <c r="G352" s="3" t="s">
        <v>70</v>
      </c>
      <c r="H352" s="2">
        <v>6</v>
      </c>
      <c r="I352" s="10" t="str">
        <f>IFERROR(VLOOKUP($C352,Merchants!$A$2:$D$41,2,FALSE),"Merchant not found")</f>
        <v>Merchant_026</v>
      </c>
      <c r="J352" s="10" t="str">
        <f>IFERROR(VLOOKUP($C352,Merchants!$A$2:$D$41,3,FALSE),"Merchant not found")</f>
        <v>food_delivery</v>
      </c>
      <c r="K352" s="10" t="str">
        <f>IFERROR(VLOOKUP($C352,Merchants!$A$2:$D$41,4,FALSE),"Merchant not found")</f>
        <v>East</v>
      </c>
      <c r="L352" s="11" t="str">
        <f t="shared" si="5"/>
        <v>Standard</v>
      </c>
    </row>
    <row r="353" spans="1:12" x14ac:dyDescent="0.3">
      <c r="A353" s="5" t="s">
        <v>773</v>
      </c>
      <c r="B353" s="4">
        <v>186</v>
      </c>
      <c r="C353" s="4">
        <v>36</v>
      </c>
      <c r="D353" s="4" t="s">
        <v>774</v>
      </c>
      <c r="E353" s="4">
        <v>4999</v>
      </c>
      <c r="F353" s="5" t="s">
        <v>73</v>
      </c>
      <c r="G353" s="5" t="s">
        <v>70</v>
      </c>
      <c r="H353" s="4">
        <v>36</v>
      </c>
      <c r="I353" s="12" t="str">
        <f>IFERROR(VLOOKUP($C353,Merchants!$A$2:$D$41,2,FALSE),"Merchant not found")</f>
        <v>Merchant_036</v>
      </c>
      <c r="J353" s="12" t="str">
        <f>IFERROR(VLOOKUP($C353,Merchants!$A$2:$D$41,3,FALSE),"Merchant not found")</f>
        <v>entertainment</v>
      </c>
      <c r="K353" s="12" t="str">
        <f>IFERROR(VLOOKUP($C353,Merchants!$A$2:$D$41,4,FALSE),"Merchant not found")</f>
        <v>East</v>
      </c>
      <c r="L353" s="13" t="str">
        <f t="shared" si="5"/>
        <v>Standard</v>
      </c>
    </row>
    <row r="354" spans="1:12" x14ac:dyDescent="0.3">
      <c r="A354" s="3" t="s">
        <v>775</v>
      </c>
      <c r="B354" s="2">
        <v>231</v>
      </c>
      <c r="C354" s="2">
        <v>36</v>
      </c>
      <c r="D354" s="2" t="s">
        <v>764</v>
      </c>
      <c r="E354" s="2">
        <v>149</v>
      </c>
      <c r="F354" s="3" t="s">
        <v>73</v>
      </c>
      <c r="G354" s="3" t="s">
        <v>70</v>
      </c>
      <c r="H354" s="2">
        <v>35</v>
      </c>
      <c r="I354" s="10" t="str">
        <f>IFERROR(VLOOKUP($C354,Merchants!$A$2:$D$41,2,FALSE),"Merchant not found")</f>
        <v>Merchant_036</v>
      </c>
      <c r="J354" s="10" t="str">
        <f>IFERROR(VLOOKUP($C354,Merchants!$A$2:$D$41,3,FALSE),"Merchant not found")</f>
        <v>entertainment</v>
      </c>
      <c r="K354" s="10" t="str">
        <f>IFERROR(VLOOKUP($C354,Merchants!$A$2:$D$41,4,FALSE),"Merchant not found")</f>
        <v>East</v>
      </c>
      <c r="L354" s="11" t="str">
        <f t="shared" si="5"/>
        <v>Standard</v>
      </c>
    </row>
    <row r="355" spans="1:12" x14ac:dyDescent="0.3">
      <c r="A355" s="5" t="s">
        <v>776</v>
      </c>
      <c r="B355" s="4">
        <v>313</v>
      </c>
      <c r="C355" s="4">
        <v>8</v>
      </c>
      <c r="D355" s="4" t="s">
        <v>777</v>
      </c>
      <c r="E355" s="4">
        <v>1499</v>
      </c>
      <c r="F355" s="5" t="s">
        <v>78</v>
      </c>
      <c r="G355" s="5" t="s">
        <v>70</v>
      </c>
      <c r="H355" s="4">
        <v>16</v>
      </c>
      <c r="I355" s="12" t="str">
        <f>IFERROR(VLOOKUP($C355,Merchants!$A$2:$D$41,2,FALSE),"Merchant not found")</f>
        <v>Merchant_008</v>
      </c>
      <c r="J355" s="12" t="str">
        <f>IFERROR(VLOOKUP($C355,Merchants!$A$2:$D$41,3,FALSE),"Merchant not found")</f>
        <v>food_delivery</v>
      </c>
      <c r="K355" s="12" t="str">
        <f>IFERROR(VLOOKUP($C355,Merchants!$A$2:$D$41,4,FALSE),"Merchant not found")</f>
        <v>North</v>
      </c>
      <c r="L355" s="13" t="str">
        <f t="shared" si="5"/>
        <v>Standard</v>
      </c>
    </row>
    <row r="356" spans="1:12" x14ac:dyDescent="0.3">
      <c r="A356" s="3" t="s">
        <v>778</v>
      </c>
      <c r="B356" s="2">
        <v>174</v>
      </c>
      <c r="C356" s="2">
        <v>36</v>
      </c>
      <c r="D356" s="2" t="s">
        <v>779</v>
      </c>
      <c r="E356" s="2">
        <v>149</v>
      </c>
      <c r="F356" s="3" t="s">
        <v>73</v>
      </c>
      <c r="G356" s="3" t="s">
        <v>70</v>
      </c>
      <c r="H356" s="2">
        <v>46</v>
      </c>
      <c r="I356" s="10" t="str">
        <f>IFERROR(VLOOKUP($C356,Merchants!$A$2:$D$41,2,FALSE),"Merchant not found")</f>
        <v>Merchant_036</v>
      </c>
      <c r="J356" s="10" t="str">
        <f>IFERROR(VLOOKUP($C356,Merchants!$A$2:$D$41,3,FALSE),"Merchant not found")</f>
        <v>entertainment</v>
      </c>
      <c r="K356" s="10" t="str">
        <f>IFERROR(VLOOKUP($C356,Merchants!$A$2:$D$41,4,FALSE),"Merchant not found")</f>
        <v>East</v>
      </c>
      <c r="L356" s="11" t="str">
        <f t="shared" si="5"/>
        <v>Standard</v>
      </c>
    </row>
    <row r="357" spans="1:12" x14ac:dyDescent="0.3">
      <c r="A357" s="5" t="s">
        <v>780</v>
      </c>
      <c r="B357" s="4">
        <v>309</v>
      </c>
      <c r="C357" s="4">
        <v>33</v>
      </c>
      <c r="D357" s="4" t="s">
        <v>781</v>
      </c>
      <c r="E357" s="4">
        <v>99</v>
      </c>
      <c r="F357" s="5" t="s">
        <v>73</v>
      </c>
      <c r="G357" s="5" t="s">
        <v>70</v>
      </c>
      <c r="H357" s="4">
        <v>51</v>
      </c>
      <c r="I357" s="12" t="str">
        <f>IFERROR(VLOOKUP($C357,Merchants!$A$2:$D$41,2,FALSE),"Merchant not found")</f>
        <v>Merchant_033</v>
      </c>
      <c r="J357" s="12" t="str">
        <f>IFERROR(VLOOKUP($C357,Merchants!$A$2:$D$41,3,FALSE),"Merchant not found")</f>
        <v>bill_payment</v>
      </c>
      <c r="K357" s="12" t="str">
        <f>IFERROR(VLOOKUP($C357,Merchants!$A$2:$D$41,4,FALSE),"Merchant not found")</f>
        <v>East</v>
      </c>
      <c r="L357" s="13" t="str">
        <f t="shared" si="5"/>
        <v>Standard</v>
      </c>
    </row>
    <row r="358" spans="1:12" x14ac:dyDescent="0.3">
      <c r="A358" s="3" t="s">
        <v>782</v>
      </c>
      <c r="B358" s="2">
        <v>20</v>
      </c>
      <c r="C358" s="2">
        <v>9</v>
      </c>
      <c r="D358" s="2" t="s">
        <v>783</v>
      </c>
      <c r="E358" s="2">
        <v>99</v>
      </c>
      <c r="F358" s="3" t="s">
        <v>73</v>
      </c>
      <c r="G358" s="3" t="s">
        <v>70</v>
      </c>
      <c r="H358" s="2">
        <v>91</v>
      </c>
      <c r="I358" s="10" t="str">
        <f>IFERROR(VLOOKUP($C358,Merchants!$A$2:$D$41,2,FALSE),"Merchant not found")</f>
        <v>Merchant_009</v>
      </c>
      <c r="J358" s="10" t="str">
        <f>IFERROR(VLOOKUP($C358,Merchants!$A$2:$D$41,3,FALSE),"Merchant not found")</f>
        <v>ecommerce</v>
      </c>
      <c r="K358" s="10" t="str">
        <f>IFERROR(VLOOKUP($C358,Merchants!$A$2:$D$41,4,FALSE),"Merchant not found")</f>
        <v>North</v>
      </c>
      <c r="L358" s="11" t="str">
        <f t="shared" si="5"/>
        <v>Standard</v>
      </c>
    </row>
    <row r="359" spans="1:12" x14ac:dyDescent="0.3">
      <c r="A359" s="5" t="s">
        <v>784</v>
      </c>
      <c r="B359" s="4">
        <v>234</v>
      </c>
      <c r="C359" s="4">
        <v>10</v>
      </c>
      <c r="D359" s="4" t="s">
        <v>785</v>
      </c>
      <c r="E359" s="4">
        <v>49</v>
      </c>
      <c r="F359" s="5" t="s">
        <v>73</v>
      </c>
      <c r="G359" s="5" t="s">
        <v>70</v>
      </c>
      <c r="H359" s="4">
        <v>77</v>
      </c>
      <c r="I359" s="12" t="str">
        <f>IFERROR(VLOOKUP($C359,Merchants!$A$2:$D$41,2,FALSE),"Merchant not found")</f>
        <v>Merchant_010</v>
      </c>
      <c r="J359" s="12" t="str">
        <f>IFERROR(VLOOKUP($C359,Merchants!$A$2:$D$41,3,FALSE),"Merchant not found")</f>
        <v>grocery</v>
      </c>
      <c r="K359" s="12" t="str">
        <f>IFERROR(VLOOKUP($C359,Merchants!$A$2:$D$41,4,FALSE),"Merchant not found")</f>
        <v>West</v>
      </c>
      <c r="L359" s="13" t="str">
        <f t="shared" si="5"/>
        <v>Standard</v>
      </c>
    </row>
    <row r="360" spans="1:12" x14ac:dyDescent="0.3">
      <c r="A360" s="3" t="s">
        <v>786</v>
      </c>
      <c r="B360" s="2">
        <v>168</v>
      </c>
      <c r="C360" s="2">
        <v>40</v>
      </c>
      <c r="D360" s="2" t="s">
        <v>787</v>
      </c>
      <c r="E360" s="2">
        <v>149</v>
      </c>
      <c r="F360" s="3" t="s">
        <v>73</v>
      </c>
      <c r="G360" s="3" t="s">
        <v>121</v>
      </c>
      <c r="H360" s="2">
        <v>40</v>
      </c>
      <c r="I360" s="10" t="str">
        <f>IFERROR(VLOOKUP($C360,Merchants!$A$2:$D$41,2,FALSE),"Merchant not found")</f>
        <v>Merchant_040</v>
      </c>
      <c r="J360" s="10" t="str">
        <f>IFERROR(VLOOKUP($C360,Merchants!$A$2:$D$41,3,FALSE),"Merchant not found")</f>
        <v>entertainment</v>
      </c>
      <c r="K360" s="10" t="str">
        <f>IFERROR(VLOOKUP($C360,Merchants!$A$2:$D$41,4,FALSE),"Merchant not found")</f>
        <v>South</v>
      </c>
      <c r="L360" s="11" t="str">
        <f t="shared" si="5"/>
        <v>Standard</v>
      </c>
    </row>
    <row r="361" spans="1:12" x14ac:dyDescent="0.3">
      <c r="A361" s="5" t="s">
        <v>788</v>
      </c>
      <c r="B361" s="4">
        <v>154</v>
      </c>
      <c r="C361" s="4">
        <v>38</v>
      </c>
      <c r="D361" s="4" t="s">
        <v>789</v>
      </c>
      <c r="E361" s="4">
        <v>99</v>
      </c>
      <c r="F361" s="5" t="s">
        <v>78</v>
      </c>
      <c r="G361" s="5" t="s">
        <v>70</v>
      </c>
      <c r="H361" s="4">
        <v>43</v>
      </c>
      <c r="I361" s="12" t="str">
        <f>IFERROR(VLOOKUP($C361,Merchants!$A$2:$D$41,2,FALSE),"Merchant not found")</f>
        <v>Merchant_038</v>
      </c>
      <c r="J361" s="12" t="str">
        <f>IFERROR(VLOOKUP($C361,Merchants!$A$2:$D$41,3,FALSE),"Merchant not found")</f>
        <v>grocery</v>
      </c>
      <c r="K361" s="12" t="str">
        <f>IFERROR(VLOOKUP($C361,Merchants!$A$2:$D$41,4,FALSE),"Merchant not found")</f>
        <v>East</v>
      </c>
      <c r="L361" s="13" t="str">
        <f t="shared" si="5"/>
        <v>Standard</v>
      </c>
    </row>
    <row r="362" spans="1:12" x14ac:dyDescent="0.3">
      <c r="A362" s="3" t="s">
        <v>790</v>
      </c>
      <c r="B362" s="2">
        <v>251</v>
      </c>
      <c r="C362" s="2">
        <v>37</v>
      </c>
      <c r="D362" s="2" t="s">
        <v>791</v>
      </c>
      <c r="E362" s="2">
        <v>49</v>
      </c>
      <c r="F362" s="3" t="s">
        <v>73</v>
      </c>
      <c r="G362" s="3" t="s">
        <v>70</v>
      </c>
      <c r="H362" s="2">
        <v>38</v>
      </c>
      <c r="I362" s="10" t="str">
        <f>IFERROR(VLOOKUP($C362,Merchants!$A$2:$D$41,2,FALSE),"Merchant not found")</f>
        <v>Merchant_037</v>
      </c>
      <c r="J362" s="10" t="str">
        <f>IFERROR(VLOOKUP($C362,Merchants!$A$2:$D$41,3,FALSE),"Merchant not found")</f>
        <v>entertainment</v>
      </c>
      <c r="K362" s="10" t="str">
        <f>IFERROR(VLOOKUP($C362,Merchants!$A$2:$D$41,4,FALSE),"Merchant not found")</f>
        <v>South</v>
      </c>
      <c r="L362" s="11" t="str">
        <f t="shared" si="5"/>
        <v>Standard</v>
      </c>
    </row>
    <row r="363" spans="1:12" x14ac:dyDescent="0.3">
      <c r="A363" s="5" t="s">
        <v>792</v>
      </c>
      <c r="B363" s="4">
        <v>170</v>
      </c>
      <c r="C363" s="4">
        <v>8</v>
      </c>
      <c r="D363" s="4" t="s">
        <v>793</v>
      </c>
      <c r="E363" s="4">
        <v>2999</v>
      </c>
      <c r="F363" s="5" t="s">
        <v>73</v>
      </c>
      <c r="G363" s="5" t="s">
        <v>70</v>
      </c>
      <c r="H363" s="4">
        <v>53</v>
      </c>
      <c r="I363" s="12" t="str">
        <f>IFERROR(VLOOKUP($C363,Merchants!$A$2:$D$41,2,FALSE),"Merchant not found")</f>
        <v>Merchant_008</v>
      </c>
      <c r="J363" s="12" t="str">
        <f>IFERROR(VLOOKUP($C363,Merchants!$A$2:$D$41,3,FALSE),"Merchant not found")</f>
        <v>food_delivery</v>
      </c>
      <c r="K363" s="12" t="str">
        <f>IFERROR(VLOOKUP($C363,Merchants!$A$2:$D$41,4,FALSE),"Merchant not found")</f>
        <v>North</v>
      </c>
      <c r="L363" s="13" t="str">
        <f t="shared" si="5"/>
        <v>Standard</v>
      </c>
    </row>
    <row r="364" spans="1:12" x14ac:dyDescent="0.3">
      <c r="A364" s="3" t="s">
        <v>794</v>
      </c>
      <c r="B364" s="2">
        <v>323</v>
      </c>
      <c r="C364" s="2">
        <v>2</v>
      </c>
      <c r="D364" s="2" t="s">
        <v>795</v>
      </c>
      <c r="E364" s="2">
        <v>49</v>
      </c>
      <c r="F364" s="3" t="s">
        <v>78</v>
      </c>
      <c r="G364" s="3" t="s">
        <v>70</v>
      </c>
      <c r="H364" s="2">
        <v>76</v>
      </c>
      <c r="I364" s="10" t="str">
        <f>IFERROR(VLOOKUP($C364,Merchants!$A$2:$D$41,2,FALSE),"Merchant not found")</f>
        <v>Merchant_002</v>
      </c>
      <c r="J364" s="10" t="str">
        <f>IFERROR(VLOOKUP($C364,Merchants!$A$2:$D$41,3,FALSE),"Merchant not found")</f>
        <v>grocery</v>
      </c>
      <c r="K364" s="10" t="str">
        <f>IFERROR(VLOOKUP($C364,Merchants!$A$2:$D$41,4,FALSE),"Merchant not found")</f>
        <v>West</v>
      </c>
      <c r="L364" s="11" t="str">
        <f t="shared" si="5"/>
        <v>Standard</v>
      </c>
    </row>
    <row r="365" spans="1:12" x14ac:dyDescent="0.3">
      <c r="A365" s="5" t="s">
        <v>796</v>
      </c>
      <c r="B365" s="4">
        <v>297</v>
      </c>
      <c r="C365" s="4">
        <v>37</v>
      </c>
      <c r="D365" s="4" t="s">
        <v>797</v>
      </c>
      <c r="E365" s="4">
        <v>2999</v>
      </c>
      <c r="F365" s="5" t="s">
        <v>69</v>
      </c>
      <c r="G365" s="5" t="s">
        <v>70</v>
      </c>
      <c r="H365" s="4">
        <v>29</v>
      </c>
      <c r="I365" s="12" t="str">
        <f>IFERROR(VLOOKUP($C365,Merchants!$A$2:$D$41,2,FALSE),"Merchant not found")</f>
        <v>Merchant_037</v>
      </c>
      <c r="J365" s="12" t="str">
        <f>IFERROR(VLOOKUP($C365,Merchants!$A$2:$D$41,3,FALSE),"Merchant not found")</f>
        <v>entertainment</v>
      </c>
      <c r="K365" s="12" t="str">
        <f>IFERROR(VLOOKUP($C365,Merchants!$A$2:$D$41,4,FALSE),"Merchant not found")</f>
        <v>South</v>
      </c>
      <c r="L365" s="13" t="str">
        <f t="shared" si="5"/>
        <v>Standard</v>
      </c>
    </row>
    <row r="366" spans="1:12" x14ac:dyDescent="0.3">
      <c r="A366" s="3" t="s">
        <v>798</v>
      </c>
      <c r="B366" s="2">
        <v>246</v>
      </c>
      <c r="C366" s="2">
        <v>11</v>
      </c>
      <c r="D366" s="2" t="s">
        <v>799</v>
      </c>
      <c r="E366" s="2">
        <v>299</v>
      </c>
      <c r="F366" s="3" t="s">
        <v>73</v>
      </c>
      <c r="G366" s="3" t="s">
        <v>70</v>
      </c>
      <c r="H366" s="2">
        <v>67</v>
      </c>
      <c r="I366" s="10" t="str">
        <f>IFERROR(VLOOKUP($C366,Merchants!$A$2:$D$41,2,FALSE),"Merchant not found")</f>
        <v>Merchant_011</v>
      </c>
      <c r="J366" s="10" t="str">
        <f>IFERROR(VLOOKUP($C366,Merchants!$A$2:$D$41,3,FALSE),"Merchant not found")</f>
        <v>ecommerce</v>
      </c>
      <c r="K366" s="10" t="str">
        <f>IFERROR(VLOOKUP($C366,Merchants!$A$2:$D$41,4,FALSE),"Merchant not found")</f>
        <v>North</v>
      </c>
      <c r="L366" s="11" t="str">
        <f t="shared" si="5"/>
        <v>Standard</v>
      </c>
    </row>
    <row r="367" spans="1:12" x14ac:dyDescent="0.3">
      <c r="A367" s="5" t="s">
        <v>800</v>
      </c>
      <c r="B367" s="4">
        <v>195</v>
      </c>
      <c r="C367" s="4">
        <v>10</v>
      </c>
      <c r="D367" s="4" t="s">
        <v>801</v>
      </c>
      <c r="E367" s="4">
        <v>99</v>
      </c>
      <c r="F367" s="5" t="s">
        <v>73</v>
      </c>
      <c r="G367" s="5" t="s">
        <v>70</v>
      </c>
      <c r="H367" s="4">
        <v>87</v>
      </c>
      <c r="I367" s="12" t="str">
        <f>IFERROR(VLOOKUP($C367,Merchants!$A$2:$D$41,2,FALSE),"Merchant not found")</f>
        <v>Merchant_010</v>
      </c>
      <c r="J367" s="12" t="str">
        <f>IFERROR(VLOOKUP($C367,Merchants!$A$2:$D$41,3,FALSE),"Merchant not found")</f>
        <v>grocery</v>
      </c>
      <c r="K367" s="12" t="str">
        <f>IFERROR(VLOOKUP($C367,Merchants!$A$2:$D$41,4,FALSE),"Merchant not found")</f>
        <v>West</v>
      </c>
      <c r="L367" s="13" t="str">
        <f t="shared" si="5"/>
        <v>Standard</v>
      </c>
    </row>
    <row r="368" spans="1:12" x14ac:dyDescent="0.3">
      <c r="A368" s="3" t="s">
        <v>802</v>
      </c>
      <c r="B368" s="2">
        <v>57</v>
      </c>
      <c r="C368" s="2">
        <v>13</v>
      </c>
      <c r="D368" s="2" t="s">
        <v>803</v>
      </c>
      <c r="E368" s="2">
        <v>149</v>
      </c>
      <c r="F368" s="3" t="s">
        <v>73</v>
      </c>
      <c r="G368" s="3" t="s">
        <v>70</v>
      </c>
      <c r="H368" s="2">
        <v>2</v>
      </c>
      <c r="I368" s="10" t="str">
        <f>IFERROR(VLOOKUP($C368,Merchants!$A$2:$D$41,2,FALSE),"Merchant not found")</f>
        <v>Merchant_013</v>
      </c>
      <c r="J368" s="10" t="str">
        <f>IFERROR(VLOOKUP($C368,Merchants!$A$2:$D$41,3,FALSE),"Merchant not found")</f>
        <v>travel</v>
      </c>
      <c r="K368" s="10" t="str">
        <f>IFERROR(VLOOKUP($C368,Merchants!$A$2:$D$41,4,FALSE),"Merchant not found")</f>
        <v>East</v>
      </c>
      <c r="L368" s="11" t="str">
        <f t="shared" si="5"/>
        <v>Standard</v>
      </c>
    </row>
    <row r="369" spans="1:12" x14ac:dyDescent="0.3">
      <c r="A369" s="5" t="s">
        <v>804</v>
      </c>
      <c r="B369" s="4">
        <v>78</v>
      </c>
      <c r="C369" s="4">
        <v>27</v>
      </c>
      <c r="D369" s="4" t="s">
        <v>805</v>
      </c>
      <c r="E369" s="4">
        <v>1499</v>
      </c>
      <c r="F369" s="5" t="s">
        <v>78</v>
      </c>
      <c r="G369" s="5" t="s">
        <v>96</v>
      </c>
      <c r="H369" s="4">
        <v>88</v>
      </c>
      <c r="I369" s="12" t="str">
        <f>IFERROR(VLOOKUP($C369,Merchants!$A$2:$D$41,2,FALSE),"Merchant not found")</f>
        <v>Merchant_027</v>
      </c>
      <c r="J369" s="12" t="str">
        <f>IFERROR(VLOOKUP($C369,Merchants!$A$2:$D$41,3,FALSE),"Merchant not found")</f>
        <v>ecommerce</v>
      </c>
      <c r="K369" s="12" t="str">
        <f>IFERROR(VLOOKUP($C369,Merchants!$A$2:$D$41,4,FALSE),"Merchant not found")</f>
        <v>North</v>
      </c>
      <c r="L369" s="13" t="str">
        <f t="shared" si="5"/>
        <v>Standard</v>
      </c>
    </row>
    <row r="370" spans="1:12" x14ac:dyDescent="0.3">
      <c r="A370" s="3" t="s">
        <v>806</v>
      </c>
      <c r="B370" s="2">
        <v>314</v>
      </c>
      <c r="C370" s="2">
        <v>31</v>
      </c>
      <c r="D370" s="2" t="s">
        <v>807</v>
      </c>
      <c r="E370" s="2">
        <v>49</v>
      </c>
      <c r="F370" s="3" t="s">
        <v>73</v>
      </c>
      <c r="G370" s="3" t="s">
        <v>121</v>
      </c>
      <c r="H370" s="2">
        <v>94</v>
      </c>
      <c r="I370" s="10" t="str">
        <f>IFERROR(VLOOKUP($C370,Merchants!$A$2:$D$41,2,FALSE),"Merchant not found")</f>
        <v>Merchant_031</v>
      </c>
      <c r="J370" s="10" t="str">
        <f>IFERROR(VLOOKUP($C370,Merchants!$A$2:$D$41,3,FALSE),"Merchant not found")</f>
        <v>bill_payment</v>
      </c>
      <c r="K370" s="10" t="str">
        <f>IFERROR(VLOOKUP($C370,Merchants!$A$2:$D$41,4,FALSE),"Merchant not found")</f>
        <v>East</v>
      </c>
      <c r="L370" s="11" t="str">
        <f t="shared" si="5"/>
        <v>Standard</v>
      </c>
    </row>
    <row r="371" spans="1:12" x14ac:dyDescent="0.3">
      <c r="A371" s="5" t="s">
        <v>808</v>
      </c>
      <c r="B371" s="4">
        <v>71</v>
      </c>
      <c r="C371" s="4">
        <v>34</v>
      </c>
      <c r="D371" s="4" t="s">
        <v>809</v>
      </c>
      <c r="E371" s="4">
        <v>499</v>
      </c>
      <c r="F371" s="5" t="s">
        <v>73</v>
      </c>
      <c r="G371" s="5" t="s">
        <v>70</v>
      </c>
      <c r="H371" s="4">
        <v>26</v>
      </c>
      <c r="I371" s="12" t="str">
        <f>IFERROR(VLOOKUP($C371,Merchants!$A$2:$D$41,2,FALSE),"Merchant not found")</f>
        <v>Merchant_034</v>
      </c>
      <c r="J371" s="12" t="str">
        <f>IFERROR(VLOOKUP($C371,Merchants!$A$2:$D$41,3,FALSE),"Merchant not found")</f>
        <v>travel</v>
      </c>
      <c r="K371" s="12" t="str">
        <f>IFERROR(VLOOKUP($C371,Merchants!$A$2:$D$41,4,FALSE),"Merchant not found")</f>
        <v>South</v>
      </c>
      <c r="L371" s="13" t="str">
        <f t="shared" si="5"/>
        <v>Standard</v>
      </c>
    </row>
    <row r="372" spans="1:12" x14ac:dyDescent="0.3">
      <c r="A372" s="3" t="s">
        <v>810</v>
      </c>
      <c r="B372" s="2">
        <v>245</v>
      </c>
      <c r="C372" s="2">
        <v>34</v>
      </c>
      <c r="D372" s="2" t="s">
        <v>811</v>
      </c>
      <c r="E372" s="2">
        <v>99</v>
      </c>
      <c r="F372" s="3" t="s">
        <v>73</v>
      </c>
      <c r="G372" s="3" t="s">
        <v>70</v>
      </c>
      <c r="H372" s="2">
        <v>48</v>
      </c>
      <c r="I372" s="10" t="str">
        <f>IFERROR(VLOOKUP($C372,Merchants!$A$2:$D$41,2,FALSE),"Merchant not found")</f>
        <v>Merchant_034</v>
      </c>
      <c r="J372" s="10" t="str">
        <f>IFERROR(VLOOKUP($C372,Merchants!$A$2:$D$41,3,FALSE),"Merchant not found")</f>
        <v>travel</v>
      </c>
      <c r="K372" s="10" t="str">
        <f>IFERROR(VLOOKUP($C372,Merchants!$A$2:$D$41,4,FALSE),"Merchant not found")</f>
        <v>South</v>
      </c>
      <c r="L372" s="11" t="str">
        <f t="shared" si="5"/>
        <v>Standard</v>
      </c>
    </row>
    <row r="373" spans="1:12" x14ac:dyDescent="0.3">
      <c r="A373" s="5" t="s">
        <v>812</v>
      </c>
      <c r="B373" s="4">
        <v>273</v>
      </c>
      <c r="C373" s="4">
        <v>22</v>
      </c>
      <c r="D373" s="4" t="s">
        <v>813</v>
      </c>
      <c r="E373" s="4">
        <v>299</v>
      </c>
      <c r="F373" s="5" t="s">
        <v>69</v>
      </c>
      <c r="G373" s="5" t="s">
        <v>70</v>
      </c>
      <c r="H373" s="4">
        <v>69</v>
      </c>
      <c r="I373" s="12" t="str">
        <f>IFERROR(VLOOKUP($C373,Merchants!$A$2:$D$41,2,FALSE),"Merchant not found")</f>
        <v>Merchant_022</v>
      </c>
      <c r="J373" s="12" t="str">
        <f>IFERROR(VLOOKUP($C373,Merchants!$A$2:$D$41,3,FALSE),"Merchant not found")</f>
        <v>travel</v>
      </c>
      <c r="K373" s="12" t="str">
        <f>IFERROR(VLOOKUP($C373,Merchants!$A$2:$D$41,4,FALSE),"Merchant not found")</f>
        <v>South</v>
      </c>
      <c r="L373" s="13" t="str">
        <f t="shared" si="5"/>
        <v>Standard</v>
      </c>
    </row>
    <row r="374" spans="1:12" x14ac:dyDescent="0.3">
      <c r="A374" s="3" t="s">
        <v>814</v>
      </c>
      <c r="B374" s="2">
        <v>349</v>
      </c>
      <c r="C374" s="2">
        <v>17</v>
      </c>
      <c r="D374" s="2" t="s">
        <v>815</v>
      </c>
      <c r="E374" s="2">
        <v>1499</v>
      </c>
      <c r="F374" s="3" t="s">
        <v>73</v>
      </c>
      <c r="G374" s="3" t="s">
        <v>70</v>
      </c>
      <c r="H374" s="2">
        <v>78</v>
      </c>
      <c r="I374" s="10" t="str">
        <f>IFERROR(VLOOKUP($C374,Merchants!$A$2:$D$41,2,FALSE),"Merchant not found")</f>
        <v>Merchant_017</v>
      </c>
      <c r="J374" s="10" t="str">
        <f>IFERROR(VLOOKUP($C374,Merchants!$A$2:$D$41,3,FALSE),"Merchant not found")</f>
        <v>grocery</v>
      </c>
      <c r="K374" s="10" t="str">
        <f>IFERROR(VLOOKUP($C374,Merchants!$A$2:$D$41,4,FALSE),"Merchant not found")</f>
        <v>North</v>
      </c>
      <c r="L374" s="11" t="str">
        <f t="shared" si="5"/>
        <v>Standard</v>
      </c>
    </row>
    <row r="375" spans="1:12" x14ac:dyDescent="0.3">
      <c r="A375" s="5" t="s">
        <v>816</v>
      </c>
      <c r="B375" s="4">
        <v>143</v>
      </c>
      <c r="C375" s="4">
        <v>36</v>
      </c>
      <c r="D375" s="4" t="s">
        <v>817</v>
      </c>
      <c r="E375" s="4">
        <v>1499</v>
      </c>
      <c r="F375" s="5" t="s">
        <v>78</v>
      </c>
      <c r="G375" s="5" t="s">
        <v>70</v>
      </c>
      <c r="H375" s="4">
        <v>38</v>
      </c>
      <c r="I375" s="12" t="str">
        <f>IFERROR(VLOOKUP($C375,Merchants!$A$2:$D$41,2,FALSE),"Merchant not found")</f>
        <v>Merchant_036</v>
      </c>
      <c r="J375" s="12" t="str">
        <f>IFERROR(VLOOKUP($C375,Merchants!$A$2:$D$41,3,FALSE),"Merchant not found")</f>
        <v>entertainment</v>
      </c>
      <c r="K375" s="12" t="str">
        <f>IFERROR(VLOOKUP($C375,Merchants!$A$2:$D$41,4,FALSE),"Merchant not found")</f>
        <v>East</v>
      </c>
      <c r="L375" s="13" t="str">
        <f t="shared" si="5"/>
        <v>Standard</v>
      </c>
    </row>
    <row r="376" spans="1:12" x14ac:dyDescent="0.3">
      <c r="A376" s="3" t="s">
        <v>818</v>
      </c>
      <c r="B376" s="2">
        <v>148</v>
      </c>
      <c r="C376" s="2">
        <v>14</v>
      </c>
      <c r="D376" s="2" t="s">
        <v>819</v>
      </c>
      <c r="E376" s="2">
        <v>799</v>
      </c>
      <c r="F376" s="3" t="s">
        <v>69</v>
      </c>
      <c r="G376" s="3" t="s">
        <v>70</v>
      </c>
      <c r="H376" s="2">
        <v>88</v>
      </c>
      <c r="I376" s="10" t="str">
        <f>IFERROR(VLOOKUP($C376,Merchants!$A$2:$D$41,2,FALSE),"Merchant not found")</f>
        <v>Merchant_014</v>
      </c>
      <c r="J376" s="10" t="str">
        <f>IFERROR(VLOOKUP($C376,Merchants!$A$2:$D$41,3,FALSE),"Merchant not found")</f>
        <v>grocery</v>
      </c>
      <c r="K376" s="10" t="str">
        <f>IFERROR(VLOOKUP($C376,Merchants!$A$2:$D$41,4,FALSE),"Merchant not found")</f>
        <v>East</v>
      </c>
      <c r="L376" s="11" t="str">
        <f t="shared" si="5"/>
        <v>Standard</v>
      </c>
    </row>
    <row r="377" spans="1:12" x14ac:dyDescent="0.3">
      <c r="A377" s="5" t="s">
        <v>820</v>
      </c>
      <c r="B377" s="4">
        <v>246</v>
      </c>
      <c r="C377" s="4">
        <v>23</v>
      </c>
      <c r="D377" s="4" t="s">
        <v>821</v>
      </c>
      <c r="E377" s="4">
        <v>49</v>
      </c>
      <c r="F377" s="5" t="s">
        <v>73</v>
      </c>
      <c r="G377" s="5" t="s">
        <v>70</v>
      </c>
      <c r="H377" s="4">
        <v>71</v>
      </c>
      <c r="I377" s="12" t="str">
        <f>IFERROR(VLOOKUP($C377,Merchants!$A$2:$D$41,2,FALSE),"Merchant not found")</f>
        <v>Merchant_023</v>
      </c>
      <c r="J377" s="12" t="str">
        <f>IFERROR(VLOOKUP($C377,Merchants!$A$2:$D$41,3,FALSE),"Merchant not found")</f>
        <v>travel</v>
      </c>
      <c r="K377" s="12" t="str">
        <f>IFERROR(VLOOKUP($C377,Merchants!$A$2:$D$41,4,FALSE),"Merchant not found")</f>
        <v>North</v>
      </c>
      <c r="L377" s="13" t="str">
        <f t="shared" si="5"/>
        <v>Standard</v>
      </c>
    </row>
    <row r="378" spans="1:12" x14ac:dyDescent="0.3">
      <c r="A378" s="3" t="s">
        <v>822</v>
      </c>
      <c r="B378" s="2">
        <v>148</v>
      </c>
      <c r="C378" s="2">
        <v>8</v>
      </c>
      <c r="D378" s="2" t="s">
        <v>823</v>
      </c>
      <c r="E378" s="2">
        <v>99</v>
      </c>
      <c r="F378" s="3" t="s">
        <v>69</v>
      </c>
      <c r="G378" s="3" t="s">
        <v>70</v>
      </c>
      <c r="H378" s="2">
        <v>73</v>
      </c>
      <c r="I378" s="10" t="str">
        <f>IFERROR(VLOOKUP($C378,Merchants!$A$2:$D$41,2,FALSE),"Merchant not found")</f>
        <v>Merchant_008</v>
      </c>
      <c r="J378" s="10" t="str">
        <f>IFERROR(VLOOKUP($C378,Merchants!$A$2:$D$41,3,FALSE),"Merchant not found")</f>
        <v>food_delivery</v>
      </c>
      <c r="K378" s="10" t="str">
        <f>IFERROR(VLOOKUP($C378,Merchants!$A$2:$D$41,4,FALSE),"Merchant not found")</f>
        <v>North</v>
      </c>
      <c r="L378" s="11" t="str">
        <f t="shared" si="5"/>
        <v>Standard</v>
      </c>
    </row>
    <row r="379" spans="1:12" x14ac:dyDescent="0.3">
      <c r="A379" s="5" t="s">
        <v>824</v>
      </c>
      <c r="B379" s="4">
        <v>203</v>
      </c>
      <c r="C379" s="4">
        <v>23</v>
      </c>
      <c r="D379" s="4" t="s">
        <v>825</v>
      </c>
      <c r="E379" s="4">
        <v>49</v>
      </c>
      <c r="F379" s="5" t="s">
        <v>73</v>
      </c>
      <c r="G379" s="5" t="s">
        <v>70</v>
      </c>
      <c r="H379" s="4">
        <v>98</v>
      </c>
      <c r="I379" s="12" t="str">
        <f>IFERROR(VLOOKUP($C379,Merchants!$A$2:$D$41,2,FALSE),"Merchant not found")</f>
        <v>Merchant_023</v>
      </c>
      <c r="J379" s="12" t="str">
        <f>IFERROR(VLOOKUP($C379,Merchants!$A$2:$D$41,3,FALSE),"Merchant not found")</f>
        <v>travel</v>
      </c>
      <c r="K379" s="12" t="str">
        <f>IFERROR(VLOOKUP($C379,Merchants!$A$2:$D$41,4,FALSE),"Merchant not found")</f>
        <v>North</v>
      </c>
      <c r="L379" s="13" t="str">
        <f t="shared" si="5"/>
        <v>Standard</v>
      </c>
    </row>
    <row r="380" spans="1:12" x14ac:dyDescent="0.3">
      <c r="A380" s="3" t="s">
        <v>826</v>
      </c>
      <c r="B380" s="2">
        <v>22</v>
      </c>
      <c r="C380" s="2">
        <v>19</v>
      </c>
      <c r="D380" s="2" t="s">
        <v>827</v>
      </c>
      <c r="E380" s="2">
        <v>49</v>
      </c>
      <c r="F380" s="3" t="s">
        <v>95</v>
      </c>
      <c r="G380" s="3" t="s">
        <v>70</v>
      </c>
      <c r="H380" s="2">
        <v>91</v>
      </c>
      <c r="I380" s="10" t="str">
        <f>IFERROR(VLOOKUP($C380,Merchants!$A$2:$D$41,2,FALSE),"Merchant not found")</f>
        <v>Merchant_019</v>
      </c>
      <c r="J380" s="10" t="str">
        <f>IFERROR(VLOOKUP($C380,Merchants!$A$2:$D$41,3,FALSE),"Merchant not found")</f>
        <v>grocery</v>
      </c>
      <c r="K380" s="10" t="str">
        <f>IFERROR(VLOOKUP($C380,Merchants!$A$2:$D$41,4,FALSE),"Merchant not found")</f>
        <v>North</v>
      </c>
      <c r="L380" s="11" t="str">
        <f t="shared" si="5"/>
        <v>Standard</v>
      </c>
    </row>
    <row r="381" spans="1:12" x14ac:dyDescent="0.3">
      <c r="A381" s="5" t="s">
        <v>828</v>
      </c>
      <c r="B381" s="4">
        <v>227</v>
      </c>
      <c r="C381" s="4">
        <v>17</v>
      </c>
      <c r="D381" s="4" t="s">
        <v>829</v>
      </c>
      <c r="E381" s="4">
        <v>299</v>
      </c>
      <c r="F381" s="5" t="s">
        <v>69</v>
      </c>
      <c r="G381" s="5" t="s">
        <v>70</v>
      </c>
      <c r="H381" s="4">
        <v>95</v>
      </c>
      <c r="I381" s="12" t="str">
        <f>IFERROR(VLOOKUP($C381,Merchants!$A$2:$D$41,2,FALSE),"Merchant not found")</f>
        <v>Merchant_017</v>
      </c>
      <c r="J381" s="12" t="str">
        <f>IFERROR(VLOOKUP($C381,Merchants!$A$2:$D$41,3,FALSE),"Merchant not found")</f>
        <v>grocery</v>
      </c>
      <c r="K381" s="12" t="str">
        <f>IFERROR(VLOOKUP($C381,Merchants!$A$2:$D$41,4,FALSE),"Merchant not found")</f>
        <v>North</v>
      </c>
      <c r="L381" s="13" t="str">
        <f t="shared" si="5"/>
        <v>Standard</v>
      </c>
    </row>
    <row r="382" spans="1:12" x14ac:dyDescent="0.3">
      <c r="A382" s="3" t="s">
        <v>830</v>
      </c>
      <c r="B382" s="2">
        <v>276</v>
      </c>
      <c r="C382" s="2">
        <v>18</v>
      </c>
      <c r="D382" s="2" t="s">
        <v>831</v>
      </c>
      <c r="E382" s="2">
        <v>149</v>
      </c>
      <c r="F382" s="3" t="s">
        <v>69</v>
      </c>
      <c r="G382" s="3" t="s">
        <v>70</v>
      </c>
      <c r="H382" s="2">
        <v>71</v>
      </c>
      <c r="I382" s="10" t="str">
        <f>IFERROR(VLOOKUP($C382,Merchants!$A$2:$D$41,2,FALSE),"Merchant not found")</f>
        <v>Merchant_018</v>
      </c>
      <c r="J382" s="10" t="str">
        <f>IFERROR(VLOOKUP($C382,Merchants!$A$2:$D$41,3,FALSE),"Merchant not found")</f>
        <v>grocery</v>
      </c>
      <c r="K382" s="10" t="str">
        <f>IFERROR(VLOOKUP($C382,Merchants!$A$2:$D$41,4,FALSE),"Merchant not found")</f>
        <v>West</v>
      </c>
      <c r="L382" s="11" t="str">
        <f t="shared" si="5"/>
        <v>Standard</v>
      </c>
    </row>
    <row r="383" spans="1:12" x14ac:dyDescent="0.3">
      <c r="A383" s="5" t="s">
        <v>832</v>
      </c>
      <c r="B383" s="4">
        <v>56</v>
      </c>
      <c r="C383" s="4">
        <v>40</v>
      </c>
      <c r="D383" s="4" t="s">
        <v>833</v>
      </c>
      <c r="E383" s="4">
        <v>99</v>
      </c>
      <c r="F383" s="5" t="s">
        <v>95</v>
      </c>
      <c r="G383" s="5" t="s">
        <v>70</v>
      </c>
      <c r="H383" s="4">
        <v>94</v>
      </c>
      <c r="I383" s="12" t="str">
        <f>IFERROR(VLOOKUP($C383,Merchants!$A$2:$D$41,2,FALSE),"Merchant not found")</f>
        <v>Merchant_040</v>
      </c>
      <c r="J383" s="12" t="str">
        <f>IFERROR(VLOOKUP($C383,Merchants!$A$2:$D$41,3,FALSE),"Merchant not found")</f>
        <v>entertainment</v>
      </c>
      <c r="K383" s="12" t="str">
        <f>IFERROR(VLOOKUP($C383,Merchants!$A$2:$D$41,4,FALSE),"Merchant not found")</f>
        <v>South</v>
      </c>
      <c r="L383" s="13" t="str">
        <f t="shared" si="5"/>
        <v>Standard</v>
      </c>
    </row>
    <row r="384" spans="1:12" x14ac:dyDescent="0.3">
      <c r="A384" s="3" t="s">
        <v>834</v>
      </c>
      <c r="B384" s="2">
        <v>26</v>
      </c>
      <c r="C384" s="2">
        <v>34</v>
      </c>
      <c r="D384" s="2" t="s">
        <v>835</v>
      </c>
      <c r="E384" s="2">
        <v>499</v>
      </c>
      <c r="F384" s="3" t="s">
        <v>95</v>
      </c>
      <c r="G384" s="3" t="s">
        <v>70</v>
      </c>
      <c r="H384" s="2">
        <v>28</v>
      </c>
      <c r="I384" s="10" t="str">
        <f>IFERROR(VLOOKUP($C384,Merchants!$A$2:$D$41,2,FALSE),"Merchant not found")</f>
        <v>Merchant_034</v>
      </c>
      <c r="J384" s="10" t="str">
        <f>IFERROR(VLOOKUP($C384,Merchants!$A$2:$D$41,3,FALSE),"Merchant not found")</f>
        <v>travel</v>
      </c>
      <c r="K384" s="10" t="str">
        <f>IFERROR(VLOOKUP($C384,Merchants!$A$2:$D$41,4,FALSE),"Merchant not found")</f>
        <v>South</v>
      </c>
      <c r="L384" s="11" t="str">
        <f t="shared" si="5"/>
        <v>Standard</v>
      </c>
    </row>
    <row r="385" spans="1:12" x14ac:dyDescent="0.3">
      <c r="A385" s="5" t="s">
        <v>836</v>
      </c>
      <c r="B385" s="4">
        <v>52</v>
      </c>
      <c r="C385" s="4">
        <v>27</v>
      </c>
      <c r="D385" s="4" t="s">
        <v>837</v>
      </c>
      <c r="E385" s="4">
        <v>499</v>
      </c>
      <c r="F385" s="5" t="s">
        <v>95</v>
      </c>
      <c r="G385" s="5" t="s">
        <v>70</v>
      </c>
      <c r="H385" s="4">
        <v>42</v>
      </c>
      <c r="I385" s="12" t="str">
        <f>IFERROR(VLOOKUP($C385,Merchants!$A$2:$D$41,2,FALSE),"Merchant not found")</f>
        <v>Merchant_027</v>
      </c>
      <c r="J385" s="12" t="str">
        <f>IFERROR(VLOOKUP($C385,Merchants!$A$2:$D$41,3,FALSE),"Merchant not found")</f>
        <v>ecommerce</v>
      </c>
      <c r="K385" s="12" t="str">
        <f>IFERROR(VLOOKUP($C385,Merchants!$A$2:$D$41,4,FALSE),"Merchant not found")</f>
        <v>North</v>
      </c>
      <c r="L385" s="13" t="str">
        <f t="shared" si="5"/>
        <v>Standard</v>
      </c>
    </row>
    <row r="386" spans="1:12" x14ac:dyDescent="0.3">
      <c r="A386" s="3" t="s">
        <v>838</v>
      </c>
      <c r="B386" s="2">
        <v>349</v>
      </c>
      <c r="C386" s="2">
        <v>9</v>
      </c>
      <c r="D386" s="2" t="s">
        <v>839</v>
      </c>
      <c r="E386" s="2">
        <v>499</v>
      </c>
      <c r="F386" s="3" t="s">
        <v>69</v>
      </c>
      <c r="G386" s="3" t="s">
        <v>70</v>
      </c>
      <c r="H386" s="2">
        <v>0</v>
      </c>
      <c r="I386" s="10" t="str">
        <f>IFERROR(VLOOKUP($C386,Merchants!$A$2:$D$41,2,FALSE),"Merchant not found")</f>
        <v>Merchant_009</v>
      </c>
      <c r="J386" s="10" t="str">
        <f>IFERROR(VLOOKUP($C386,Merchants!$A$2:$D$41,3,FALSE),"Merchant not found")</f>
        <v>ecommerce</v>
      </c>
      <c r="K386" s="10" t="str">
        <f>IFERROR(VLOOKUP($C386,Merchants!$A$2:$D$41,4,FALSE),"Merchant not found")</f>
        <v>North</v>
      </c>
      <c r="L386" s="11" t="str">
        <f t="shared" ref="L386:L449" si="6">IF(AND(SUMPRODUCT(($C$2:$C$548=$C386)*(LEFT($D$2:$D$548,10)=LEFT($D386,10))*$E$2:$E$548)&gt;5000,$K386&lt;&gt;"East"),"High-Value Merchant Day","Standard")</f>
        <v>Standard</v>
      </c>
    </row>
    <row r="387" spans="1:12" x14ac:dyDescent="0.3">
      <c r="A387" s="5" t="s">
        <v>840</v>
      </c>
      <c r="B387" s="4">
        <v>335</v>
      </c>
      <c r="C387" s="4">
        <v>31</v>
      </c>
      <c r="D387" s="4" t="s">
        <v>841</v>
      </c>
      <c r="E387" s="4">
        <v>49</v>
      </c>
      <c r="F387" s="5" t="s">
        <v>95</v>
      </c>
      <c r="G387" s="5" t="s">
        <v>70</v>
      </c>
      <c r="H387" s="4">
        <v>61</v>
      </c>
      <c r="I387" s="12" t="str">
        <f>IFERROR(VLOOKUP($C387,Merchants!$A$2:$D$41,2,FALSE),"Merchant not found")</f>
        <v>Merchant_031</v>
      </c>
      <c r="J387" s="12" t="str">
        <f>IFERROR(VLOOKUP($C387,Merchants!$A$2:$D$41,3,FALSE),"Merchant not found")</f>
        <v>bill_payment</v>
      </c>
      <c r="K387" s="12" t="str">
        <f>IFERROR(VLOOKUP($C387,Merchants!$A$2:$D$41,4,FALSE),"Merchant not found")</f>
        <v>East</v>
      </c>
      <c r="L387" s="13" t="str">
        <f t="shared" si="6"/>
        <v>Standard</v>
      </c>
    </row>
    <row r="388" spans="1:12" x14ac:dyDescent="0.3">
      <c r="A388" s="3" t="s">
        <v>842</v>
      </c>
      <c r="B388" s="2">
        <v>148</v>
      </c>
      <c r="C388" s="2">
        <v>21</v>
      </c>
      <c r="D388" s="2" t="s">
        <v>843</v>
      </c>
      <c r="E388" s="2">
        <v>49</v>
      </c>
      <c r="F388" s="3" t="s">
        <v>95</v>
      </c>
      <c r="G388" s="3" t="s">
        <v>70</v>
      </c>
      <c r="H388" s="2">
        <v>36</v>
      </c>
      <c r="I388" s="10" t="str">
        <f>IFERROR(VLOOKUP($C388,Merchants!$A$2:$D$41,2,FALSE),"Merchant not found")</f>
        <v>Merchant_021</v>
      </c>
      <c r="J388" s="10" t="str">
        <f>IFERROR(VLOOKUP($C388,Merchants!$A$2:$D$41,3,FALSE),"Merchant not found")</f>
        <v>food_delivery</v>
      </c>
      <c r="K388" s="10" t="str">
        <f>IFERROR(VLOOKUP($C388,Merchants!$A$2:$D$41,4,FALSE),"Merchant not found")</f>
        <v>East</v>
      </c>
      <c r="L388" s="11" t="str">
        <f t="shared" si="6"/>
        <v>Standard</v>
      </c>
    </row>
    <row r="389" spans="1:12" x14ac:dyDescent="0.3">
      <c r="A389" s="5" t="s">
        <v>844</v>
      </c>
      <c r="B389" s="4">
        <v>46</v>
      </c>
      <c r="C389" s="4">
        <v>37</v>
      </c>
      <c r="D389" s="4" t="s">
        <v>845</v>
      </c>
      <c r="E389" s="4">
        <v>99</v>
      </c>
      <c r="F389" s="5" t="s">
        <v>69</v>
      </c>
      <c r="G389" s="5" t="s">
        <v>70</v>
      </c>
      <c r="H389" s="4">
        <v>29</v>
      </c>
      <c r="I389" s="12" t="str">
        <f>IFERROR(VLOOKUP($C389,Merchants!$A$2:$D$41,2,FALSE),"Merchant not found")</f>
        <v>Merchant_037</v>
      </c>
      <c r="J389" s="12" t="str">
        <f>IFERROR(VLOOKUP($C389,Merchants!$A$2:$D$41,3,FALSE),"Merchant not found")</f>
        <v>entertainment</v>
      </c>
      <c r="K389" s="12" t="str">
        <f>IFERROR(VLOOKUP($C389,Merchants!$A$2:$D$41,4,FALSE),"Merchant not found")</f>
        <v>South</v>
      </c>
      <c r="L389" s="13" t="str">
        <f t="shared" si="6"/>
        <v>Standard</v>
      </c>
    </row>
    <row r="390" spans="1:12" x14ac:dyDescent="0.3">
      <c r="A390" s="3" t="s">
        <v>846</v>
      </c>
      <c r="B390" s="2">
        <v>20</v>
      </c>
      <c r="C390" s="2">
        <v>12</v>
      </c>
      <c r="D390" s="2" t="s">
        <v>847</v>
      </c>
      <c r="E390" s="2">
        <v>799</v>
      </c>
      <c r="F390" s="3" t="s">
        <v>95</v>
      </c>
      <c r="G390" s="3" t="s">
        <v>70</v>
      </c>
      <c r="H390" s="2">
        <v>53</v>
      </c>
      <c r="I390" s="10" t="str">
        <f>IFERROR(VLOOKUP($C390,Merchants!$A$2:$D$41,2,FALSE),"Merchant not found")</f>
        <v>Merchant_012</v>
      </c>
      <c r="J390" s="10" t="str">
        <f>IFERROR(VLOOKUP($C390,Merchants!$A$2:$D$41,3,FALSE),"Merchant not found")</f>
        <v>ecommerce</v>
      </c>
      <c r="K390" s="10" t="str">
        <f>IFERROR(VLOOKUP($C390,Merchants!$A$2:$D$41,4,FALSE),"Merchant not found")</f>
        <v>East</v>
      </c>
      <c r="L390" s="11" t="str">
        <f t="shared" si="6"/>
        <v>Standard</v>
      </c>
    </row>
    <row r="391" spans="1:12" x14ac:dyDescent="0.3">
      <c r="A391" s="5" t="s">
        <v>848</v>
      </c>
      <c r="B391" s="4">
        <v>19</v>
      </c>
      <c r="C391" s="4">
        <v>26</v>
      </c>
      <c r="D391" s="4" t="s">
        <v>849</v>
      </c>
      <c r="E391" s="4">
        <v>49</v>
      </c>
      <c r="F391" s="5" t="s">
        <v>73</v>
      </c>
      <c r="G391" s="5" t="s">
        <v>70</v>
      </c>
      <c r="H391" s="4">
        <v>100</v>
      </c>
      <c r="I391" s="12" t="str">
        <f>IFERROR(VLOOKUP($C391,Merchants!$A$2:$D$41,2,FALSE),"Merchant not found")</f>
        <v>Merchant_026</v>
      </c>
      <c r="J391" s="12" t="str">
        <f>IFERROR(VLOOKUP($C391,Merchants!$A$2:$D$41,3,FALSE),"Merchant not found")</f>
        <v>food_delivery</v>
      </c>
      <c r="K391" s="12" t="str">
        <f>IFERROR(VLOOKUP($C391,Merchants!$A$2:$D$41,4,FALSE),"Merchant not found")</f>
        <v>East</v>
      </c>
      <c r="L391" s="13" t="str">
        <f t="shared" si="6"/>
        <v>Standard</v>
      </c>
    </row>
    <row r="392" spans="1:12" x14ac:dyDescent="0.3">
      <c r="A392" s="3" t="s">
        <v>850</v>
      </c>
      <c r="B392" s="2">
        <v>149</v>
      </c>
      <c r="C392" s="2">
        <v>3</v>
      </c>
      <c r="D392" s="2" t="s">
        <v>851</v>
      </c>
      <c r="E392" s="2">
        <v>4999</v>
      </c>
      <c r="F392" s="3" t="s">
        <v>69</v>
      </c>
      <c r="G392" s="3" t="s">
        <v>70</v>
      </c>
      <c r="H392" s="2">
        <v>1</v>
      </c>
      <c r="I392" s="10" t="str">
        <f>IFERROR(VLOOKUP($C392,Merchants!$A$2:$D$41,2,FALSE),"Merchant not found")</f>
        <v>Merchant_003</v>
      </c>
      <c r="J392" s="10" t="str">
        <f>IFERROR(VLOOKUP($C392,Merchants!$A$2:$D$41,3,FALSE),"Merchant not found")</f>
        <v>grocery</v>
      </c>
      <c r="K392" s="10" t="str">
        <f>IFERROR(VLOOKUP($C392,Merchants!$A$2:$D$41,4,FALSE),"Merchant not found")</f>
        <v>East</v>
      </c>
      <c r="L392" s="11" t="str">
        <f t="shared" si="6"/>
        <v>Standard</v>
      </c>
    </row>
    <row r="393" spans="1:12" x14ac:dyDescent="0.3">
      <c r="A393" s="5" t="s">
        <v>852</v>
      </c>
      <c r="B393" s="4">
        <v>55</v>
      </c>
      <c r="C393" s="4">
        <v>22</v>
      </c>
      <c r="D393" s="4" t="s">
        <v>853</v>
      </c>
      <c r="E393" s="4">
        <v>499</v>
      </c>
      <c r="F393" s="5" t="s">
        <v>73</v>
      </c>
      <c r="G393" s="5" t="s">
        <v>70</v>
      </c>
      <c r="H393" s="4">
        <v>36</v>
      </c>
      <c r="I393" s="12" t="str">
        <f>IFERROR(VLOOKUP($C393,Merchants!$A$2:$D$41,2,FALSE),"Merchant not found")</f>
        <v>Merchant_022</v>
      </c>
      <c r="J393" s="12" t="str">
        <f>IFERROR(VLOOKUP($C393,Merchants!$A$2:$D$41,3,FALSE),"Merchant not found")</f>
        <v>travel</v>
      </c>
      <c r="K393" s="12" t="str">
        <f>IFERROR(VLOOKUP($C393,Merchants!$A$2:$D$41,4,FALSE),"Merchant not found")</f>
        <v>South</v>
      </c>
      <c r="L393" s="13" t="str">
        <f t="shared" si="6"/>
        <v>Standard</v>
      </c>
    </row>
    <row r="394" spans="1:12" x14ac:dyDescent="0.3">
      <c r="A394" s="3" t="s">
        <v>854</v>
      </c>
      <c r="B394" s="2">
        <v>269</v>
      </c>
      <c r="C394" s="2">
        <v>32</v>
      </c>
      <c r="D394" s="2" t="s">
        <v>855</v>
      </c>
      <c r="E394" s="2">
        <v>49</v>
      </c>
      <c r="F394" s="3" t="s">
        <v>95</v>
      </c>
      <c r="G394" s="3" t="s">
        <v>70</v>
      </c>
      <c r="H394" s="2">
        <v>17</v>
      </c>
      <c r="I394" s="10" t="str">
        <f>IFERROR(VLOOKUP($C394,Merchants!$A$2:$D$41,2,FALSE),"Merchant not found")</f>
        <v>Merchant_032</v>
      </c>
      <c r="J394" s="10" t="str">
        <f>IFERROR(VLOOKUP($C394,Merchants!$A$2:$D$41,3,FALSE),"Merchant not found")</f>
        <v>food_delivery</v>
      </c>
      <c r="K394" s="10" t="str">
        <f>IFERROR(VLOOKUP($C394,Merchants!$A$2:$D$41,4,FALSE),"Merchant not found")</f>
        <v>West</v>
      </c>
      <c r="L394" s="11" t="str">
        <f t="shared" si="6"/>
        <v>Standard</v>
      </c>
    </row>
    <row r="395" spans="1:12" x14ac:dyDescent="0.3">
      <c r="A395" s="5" t="s">
        <v>856</v>
      </c>
      <c r="B395" s="4">
        <v>140</v>
      </c>
      <c r="C395" s="4">
        <v>13</v>
      </c>
      <c r="D395" s="4" t="s">
        <v>857</v>
      </c>
      <c r="E395" s="4">
        <v>2999</v>
      </c>
      <c r="F395" s="5" t="s">
        <v>73</v>
      </c>
      <c r="G395" s="5" t="s">
        <v>70</v>
      </c>
      <c r="H395" s="4">
        <v>14</v>
      </c>
      <c r="I395" s="12" t="str">
        <f>IFERROR(VLOOKUP($C395,Merchants!$A$2:$D$41,2,FALSE),"Merchant not found")</f>
        <v>Merchant_013</v>
      </c>
      <c r="J395" s="12" t="str">
        <f>IFERROR(VLOOKUP($C395,Merchants!$A$2:$D$41,3,FALSE),"Merchant not found")</f>
        <v>travel</v>
      </c>
      <c r="K395" s="12" t="str">
        <f>IFERROR(VLOOKUP($C395,Merchants!$A$2:$D$41,4,FALSE),"Merchant not found")</f>
        <v>East</v>
      </c>
      <c r="L395" s="13" t="str">
        <f t="shared" si="6"/>
        <v>Standard</v>
      </c>
    </row>
    <row r="396" spans="1:12" x14ac:dyDescent="0.3">
      <c r="A396" s="3" t="s">
        <v>858</v>
      </c>
      <c r="B396" s="2">
        <v>235</v>
      </c>
      <c r="C396" s="2">
        <v>17</v>
      </c>
      <c r="D396" s="2" t="s">
        <v>859</v>
      </c>
      <c r="E396" s="2">
        <v>2999</v>
      </c>
      <c r="F396" s="3" t="s">
        <v>73</v>
      </c>
      <c r="G396" s="3" t="s">
        <v>70</v>
      </c>
      <c r="H396" s="2">
        <v>91</v>
      </c>
      <c r="I396" s="10" t="str">
        <f>IFERROR(VLOOKUP($C396,Merchants!$A$2:$D$41,2,FALSE),"Merchant not found")</f>
        <v>Merchant_017</v>
      </c>
      <c r="J396" s="10" t="str">
        <f>IFERROR(VLOOKUP($C396,Merchants!$A$2:$D$41,3,FALSE),"Merchant not found")</f>
        <v>grocery</v>
      </c>
      <c r="K396" s="10" t="str">
        <f>IFERROR(VLOOKUP($C396,Merchants!$A$2:$D$41,4,FALSE),"Merchant not found")</f>
        <v>North</v>
      </c>
      <c r="L396" s="11" t="str">
        <f t="shared" si="6"/>
        <v>High-Value Merchant Day</v>
      </c>
    </row>
    <row r="397" spans="1:12" x14ac:dyDescent="0.3">
      <c r="A397" s="5" t="s">
        <v>860</v>
      </c>
      <c r="B397" s="4">
        <v>173</v>
      </c>
      <c r="C397" s="4">
        <v>19</v>
      </c>
      <c r="D397" s="4" t="s">
        <v>861</v>
      </c>
      <c r="E397" s="4">
        <v>499</v>
      </c>
      <c r="F397" s="5" t="s">
        <v>73</v>
      </c>
      <c r="G397" s="5" t="s">
        <v>96</v>
      </c>
      <c r="H397" s="4">
        <v>72</v>
      </c>
      <c r="I397" s="12" t="str">
        <f>IFERROR(VLOOKUP($C397,Merchants!$A$2:$D$41,2,FALSE),"Merchant not found")</f>
        <v>Merchant_019</v>
      </c>
      <c r="J397" s="12" t="str">
        <f>IFERROR(VLOOKUP($C397,Merchants!$A$2:$D$41,3,FALSE),"Merchant not found")</f>
        <v>grocery</v>
      </c>
      <c r="K397" s="12" t="str">
        <f>IFERROR(VLOOKUP($C397,Merchants!$A$2:$D$41,4,FALSE),"Merchant not found")</f>
        <v>North</v>
      </c>
      <c r="L397" s="13" t="str">
        <f t="shared" si="6"/>
        <v>Standard</v>
      </c>
    </row>
    <row r="398" spans="1:12" x14ac:dyDescent="0.3">
      <c r="A398" s="3" t="s">
        <v>862</v>
      </c>
      <c r="B398" s="2">
        <v>313</v>
      </c>
      <c r="C398" s="2">
        <v>26</v>
      </c>
      <c r="D398" s="2" t="s">
        <v>863</v>
      </c>
      <c r="E398" s="2">
        <v>499</v>
      </c>
      <c r="F398" s="3" t="s">
        <v>73</v>
      </c>
      <c r="G398" s="3" t="s">
        <v>70</v>
      </c>
      <c r="H398" s="2">
        <v>54</v>
      </c>
      <c r="I398" s="10" t="str">
        <f>IFERROR(VLOOKUP($C398,Merchants!$A$2:$D$41,2,FALSE),"Merchant not found")</f>
        <v>Merchant_026</v>
      </c>
      <c r="J398" s="10" t="str">
        <f>IFERROR(VLOOKUP($C398,Merchants!$A$2:$D$41,3,FALSE),"Merchant not found")</f>
        <v>food_delivery</v>
      </c>
      <c r="K398" s="10" t="str">
        <f>IFERROR(VLOOKUP($C398,Merchants!$A$2:$D$41,4,FALSE),"Merchant not found")</f>
        <v>East</v>
      </c>
      <c r="L398" s="11" t="str">
        <f t="shared" si="6"/>
        <v>Standard</v>
      </c>
    </row>
    <row r="399" spans="1:12" x14ac:dyDescent="0.3">
      <c r="A399" s="5" t="s">
        <v>864</v>
      </c>
      <c r="B399" s="4">
        <v>206</v>
      </c>
      <c r="C399" s="4">
        <v>7</v>
      </c>
      <c r="D399" s="4" t="s">
        <v>865</v>
      </c>
      <c r="E399" s="4">
        <v>149</v>
      </c>
      <c r="F399" s="5" t="s">
        <v>69</v>
      </c>
      <c r="G399" s="5" t="s">
        <v>70</v>
      </c>
      <c r="H399" s="4">
        <v>23</v>
      </c>
      <c r="I399" s="12" t="str">
        <f>IFERROR(VLOOKUP($C399,Merchants!$A$2:$D$41,2,FALSE),"Merchant not found")</f>
        <v>Merchant_007</v>
      </c>
      <c r="J399" s="12" t="str">
        <f>IFERROR(VLOOKUP($C399,Merchants!$A$2:$D$41,3,FALSE),"Merchant not found")</f>
        <v>food_delivery</v>
      </c>
      <c r="K399" s="12" t="str">
        <f>IFERROR(VLOOKUP($C399,Merchants!$A$2:$D$41,4,FALSE),"Merchant not found")</f>
        <v>East</v>
      </c>
      <c r="L399" s="13" t="str">
        <f t="shared" si="6"/>
        <v>Standard</v>
      </c>
    </row>
    <row r="400" spans="1:12" x14ac:dyDescent="0.3">
      <c r="A400" s="3" t="s">
        <v>866</v>
      </c>
      <c r="B400" s="2">
        <v>128</v>
      </c>
      <c r="C400" s="2">
        <v>1</v>
      </c>
      <c r="D400" s="2" t="s">
        <v>867</v>
      </c>
      <c r="E400" s="2">
        <v>1499</v>
      </c>
      <c r="F400" s="3" t="s">
        <v>78</v>
      </c>
      <c r="G400" s="3" t="s">
        <v>70</v>
      </c>
      <c r="H400" s="2">
        <v>33</v>
      </c>
      <c r="I400" s="10" t="str">
        <f>IFERROR(VLOOKUP($C400,Merchants!$A$2:$D$41,2,FALSE),"Merchant not found")</f>
        <v>Merchant_001</v>
      </c>
      <c r="J400" s="10" t="str">
        <f>IFERROR(VLOOKUP($C400,Merchants!$A$2:$D$41,3,FALSE),"Merchant not found")</f>
        <v>ecommerce</v>
      </c>
      <c r="K400" s="10" t="str">
        <f>IFERROR(VLOOKUP($C400,Merchants!$A$2:$D$41,4,FALSE),"Merchant not found")</f>
        <v>South</v>
      </c>
      <c r="L400" s="11" t="str">
        <f t="shared" si="6"/>
        <v>Standard</v>
      </c>
    </row>
    <row r="401" spans="1:12" x14ac:dyDescent="0.3">
      <c r="A401" s="5" t="s">
        <v>868</v>
      </c>
      <c r="B401" s="4">
        <v>137</v>
      </c>
      <c r="C401" s="4">
        <v>22</v>
      </c>
      <c r="D401" s="4" t="s">
        <v>869</v>
      </c>
      <c r="E401" s="4">
        <v>799</v>
      </c>
      <c r="F401" s="5" t="s">
        <v>73</v>
      </c>
      <c r="G401" s="5" t="s">
        <v>96</v>
      </c>
      <c r="H401" s="4">
        <v>38</v>
      </c>
      <c r="I401" s="12" t="str">
        <f>IFERROR(VLOOKUP($C401,Merchants!$A$2:$D$41,2,FALSE),"Merchant not found")</f>
        <v>Merchant_022</v>
      </c>
      <c r="J401" s="12" t="str">
        <f>IFERROR(VLOOKUP($C401,Merchants!$A$2:$D$41,3,FALSE),"Merchant not found")</f>
        <v>travel</v>
      </c>
      <c r="K401" s="12" t="str">
        <f>IFERROR(VLOOKUP($C401,Merchants!$A$2:$D$41,4,FALSE),"Merchant not found")</f>
        <v>South</v>
      </c>
      <c r="L401" s="13" t="str">
        <f t="shared" si="6"/>
        <v>High-Value Merchant Day</v>
      </c>
    </row>
    <row r="402" spans="1:12" x14ac:dyDescent="0.3">
      <c r="A402" s="3" t="s">
        <v>870</v>
      </c>
      <c r="B402" s="2">
        <v>6</v>
      </c>
      <c r="C402" s="2">
        <v>17</v>
      </c>
      <c r="D402" s="2" t="s">
        <v>871</v>
      </c>
      <c r="E402" s="2">
        <v>49</v>
      </c>
      <c r="F402" s="3" t="s">
        <v>73</v>
      </c>
      <c r="G402" s="3" t="s">
        <v>70</v>
      </c>
      <c r="H402" s="2">
        <v>83</v>
      </c>
      <c r="I402" s="10" t="str">
        <f>IFERROR(VLOOKUP($C402,Merchants!$A$2:$D$41,2,FALSE),"Merchant not found")</f>
        <v>Merchant_017</v>
      </c>
      <c r="J402" s="10" t="str">
        <f>IFERROR(VLOOKUP($C402,Merchants!$A$2:$D$41,3,FALSE),"Merchant not found")</f>
        <v>grocery</v>
      </c>
      <c r="K402" s="10" t="str">
        <f>IFERROR(VLOOKUP($C402,Merchants!$A$2:$D$41,4,FALSE),"Merchant not found")</f>
        <v>North</v>
      </c>
      <c r="L402" s="11" t="str">
        <f t="shared" si="6"/>
        <v>Standard</v>
      </c>
    </row>
    <row r="403" spans="1:12" x14ac:dyDescent="0.3">
      <c r="A403" s="5" t="s">
        <v>872</v>
      </c>
      <c r="B403" s="4">
        <v>32</v>
      </c>
      <c r="C403" s="4">
        <v>8</v>
      </c>
      <c r="D403" s="4" t="s">
        <v>873</v>
      </c>
      <c r="E403" s="4">
        <v>299</v>
      </c>
      <c r="F403" s="5" t="s">
        <v>95</v>
      </c>
      <c r="G403" s="5" t="s">
        <v>70</v>
      </c>
      <c r="H403" s="4">
        <v>59</v>
      </c>
      <c r="I403" s="12" t="str">
        <f>IFERROR(VLOOKUP($C403,Merchants!$A$2:$D$41,2,FALSE),"Merchant not found")</f>
        <v>Merchant_008</v>
      </c>
      <c r="J403" s="12" t="str">
        <f>IFERROR(VLOOKUP($C403,Merchants!$A$2:$D$41,3,FALSE),"Merchant not found")</f>
        <v>food_delivery</v>
      </c>
      <c r="K403" s="12" t="str">
        <f>IFERROR(VLOOKUP($C403,Merchants!$A$2:$D$41,4,FALSE),"Merchant not found")</f>
        <v>North</v>
      </c>
      <c r="L403" s="13" t="str">
        <f t="shared" si="6"/>
        <v>Standard</v>
      </c>
    </row>
    <row r="404" spans="1:12" x14ac:dyDescent="0.3">
      <c r="A404" s="3" t="s">
        <v>874</v>
      </c>
      <c r="B404" s="2">
        <v>258</v>
      </c>
      <c r="C404" s="2">
        <v>20</v>
      </c>
      <c r="D404" s="2" t="s">
        <v>875</v>
      </c>
      <c r="E404" s="2">
        <v>149</v>
      </c>
      <c r="F404" s="3" t="s">
        <v>73</v>
      </c>
      <c r="G404" s="3" t="s">
        <v>70</v>
      </c>
      <c r="H404" s="2">
        <v>88</v>
      </c>
      <c r="I404" s="10" t="str">
        <f>IFERROR(VLOOKUP($C404,Merchants!$A$2:$D$41,2,FALSE),"Merchant not found")</f>
        <v>Merchant_020</v>
      </c>
      <c r="J404" s="10" t="str">
        <f>IFERROR(VLOOKUP($C404,Merchants!$A$2:$D$41,3,FALSE),"Merchant not found")</f>
        <v>food_delivery</v>
      </c>
      <c r="K404" s="10" t="str">
        <f>IFERROR(VLOOKUP($C404,Merchants!$A$2:$D$41,4,FALSE),"Merchant not found")</f>
        <v>East</v>
      </c>
      <c r="L404" s="11" t="str">
        <f t="shared" si="6"/>
        <v>Standard</v>
      </c>
    </row>
    <row r="405" spans="1:12" x14ac:dyDescent="0.3">
      <c r="A405" s="5" t="s">
        <v>876</v>
      </c>
      <c r="B405" s="4">
        <v>152</v>
      </c>
      <c r="C405" s="4">
        <v>24</v>
      </c>
      <c r="D405" s="4" t="s">
        <v>877</v>
      </c>
      <c r="E405" s="4">
        <v>149</v>
      </c>
      <c r="F405" s="5" t="s">
        <v>73</v>
      </c>
      <c r="G405" s="5" t="s">
        <v>121</v>
      </c>
      <c r="H405" s="4">
        <v>78</v>
      </c>
      <c r="I405" s="12" t="str">
        <f>IFERROR(VLOOKUP($C405,Merchants!$A$2:$D$41,2,FALSE),"Merchant not found")</f>
        <v>Merchant_024</v>
      </c>
      <c r="J405" s="12" t="str">
        <f>IFERROR(VLOOKUP($C405,Merchants!$A$2:$D$41,3,FALSE),"Merchant not found")</f>
        <v>grocery</v>
      </c>
      <c r="K405" s="12" t="str">
        <f>IFERROR(VLOOKUP($C405,Merchants!$A$2:$D$41,4,FALSE),"Merchant not found")</f>
        <v>North</v>
      </c>
      <c r="L405" s="13" t="str">
        <f t="shared" si="6"/>
        <v>Standard</v>
      </c>
    </row>
    <row r="406" spans="1:12" x14ac:dyDescent="0.3">
      <c r="A406" s="3" t="s">
        <v>878</v>
      </c>
      <c r="B406" s="2">
        <v>245</v>
      </c>
      <c r="C406" s="2">
        <v>10</v>
      </c>
      <c r="D406" s="2" t="s">
        <v>879</v>
      </c>
      <c r="E406" s="2">
        <v>799</v>
      </c>
      <c r="F406" s="3" t="s">
        <v>69</v>
      </c>
      <c r="G406" s="3" t="s">
        <v>70</v>
      </c>
      <c r="H406" s="2">
        <v>58</v>
      </c>
      <c r="I406" s="10" t="str">
        <f>IFERROR(VLOOKUP($C406,Merchants!$A$2:$D$41,2,FALSE),"Merchant not found")</f>
        <v>Merchant_010</v>
      </c>
      <c r="J406" s="10" t="str">
        <f>IFERROR(VLOOKUP($C406,Merchants!$A$2:$D$41,3,FALSE),"Merchant not found")</f>
        <v>grocery</v>
      </c>
      <c r="K406" s="10" t="str">
        <f>IFERROR(VLOOKUP($C406,Merchants!$A$2:$D$41,4,FALSE),"Merchant not found")</f>
        <v>West</v>
      </c>
      <c r="L406" s="11" t="str">
        <f t="shared" si="6"/>
        <v>Standard</v>
      </c>
    </row>
    <row r="407" spans="1:12" x14ac:dyDescent="0.3">
      <c r="A407" s="5" t="s">
        <v>880</v>
      </c>
      <c r="B407" s="4">
        <v>213</v>
      </c>
      <c r="C407" s="4">
        <v>36</v>
      </c>
      <c r="D407" s="4" t="s">
        <v>881</v>
      </c>
      <c r="E407" s="4">
        <v>49</v>
      </c>
      <c r="F407" s="5" t="s">
        <v>69</v>
      </c>
      <c r="G407" s="5" t="s">
        <v>70</v>
      </c>
      <c r="H407" s="4">
        <v>60</v>
      </c>
      <c r="I407" s="12" t="str">
        <f>IFERROR(VLOOKUP($C407,Merchants!$A$2:$D$41,2,FALSE),"Merchant not found")</f>
        <v>Merchant_036</v>
      </c>
      <c r="J407" s="12" t="str">
        <f>IFERROR(VLOOKUP($C407,Merchants!$A$2:$D$41,3,FALSE),"Merchant not found")</f>
        <v>entertainment</v>
      </c>
      <c r="K407" s="12" t="str">
        <f>IFERROR(VLOOKUP($C407,Merchants!$A$2:$D$41,4,FALSE),"Merchant not found")</f>
        <v>East</v>
      </c>
      <c r="L407" s="13" t="str">
        <f t="shared" si="6"/>
        <v>Standard</v>
      </c>
    </row>
    <row r="408" spans="1:12" x14ac:dyDescent="0.3">
      <c r="A408" s="3" t="s">
        <v>882</v>
      </c>
      <c r="B408" s="2">
        <v>341</v>
      </c>
      <c r="C408" s="2">
        <v>14</v>
      </c>
      <c r="D408" s="2" t="s">
        <v>883</v>
      </c>
      <c r="E408" s="2">
        <v>99</v>
      </c>
      <c r="F408" s="3" t="s">
        <v>78</v>
      </c>
      <c r="G408" s="3" t="s">
        <v>70</v>
      </c>
      <c r="H408" s="2">
        <v>97</v>
      </c>
      <c r="I408" s="10" t="str">
        <f>IFERROR(VLOOKUP($C408,Merchants!$A$2:$D$41,2,FALSE),"Merchant not found")</f>
        <v>Merchant_014</v>
      </c>
      <c r="J408" s="10" t="str">
        <f>IFERROR(VLOOKUP($C408,Merchants!$A$2:$D$41,3,FALSE),"Merchant not found")</f>
        <v>grocery</v>
      </c>
      <c r="K408" s="10" t="str">
        <f>IFERROR(VLOOKUP($C408,Merchants!$A$2:$D$41,4,FALSE),"Merchant not found")</f>
        <v>East</v>
      </c>
      <c r="L408" s="11" t="str">
        <f t="shared" si="6"/>
        <v>Standard</v>
      </c>
    </row>
    <row r="409" spans="1:12" x14ac:dyDescent="0.3">
      <c r="A409" s="5" t="s">
        <v>884</v>
      </c>
      <c r="B409" s="4">
        <v>306</v>
      </c>
      <c r="C409" s="4">
        <v>6</v>
      </c>
      <c r="D409" s="4" t="s">
        <v>885</v>
      </c>
      <c r="E409" s="4">
        <v>149</v>
      </c>
      <c r="F409" s="5" t="s">
        <v>78</v>
      </c>
      <c r="G409" s="5" t="s">
        <v>70</v>
      </c>
      <c r="H409" s="4">
        <v>67</v>
      </c>
      <c r="I409" s="12" t="str">
        <f>IFERROR(VLOOKUP($C409,Merchants!$A$2:$D$41,2,FALSE),"Merchant not found")</f>
        <v>Merchant_006</v>
      </c>
      <c r="J409" s="12" t="str">
        <f>IFERROR(VLOOKUP($C409,Merchants!$A$2:$D$41,3,FALSE),"Merchant not found")</f>
        <v>food_delivery</v>
      </c>
      <c r="K409" s="12" t="str">
        <f>IFERROR(VLOOKUP($C409,Merchants!$A$2:$D$41,4,FALSE),"Merchant not found")</f>
        <v>South</v>
      </c>
      <c r="L409" s="13" t="str">
        <f t="shared" si="6"/>
        <v>Standard</v>
      </c>
    </row>
    <row r="410" spans="1:12" x14ac:dyDescent="0.3">
      <c r="A410" s="3" t="s">
        <v>886</v>
      </c>
      <c r="B410" s="2">
        <v>186</v>
      </c>
      <c r="C410" s="2">
        <v>5</v>
      </c>
      <c r="D410" s="2" t="s">
        <v>887</v>
      </c>
      <c r="E410" s="2">
        <v>499</v>
      </c>
      <c r="F410" s="3" t="s">
        <v>73</v>
      </c>
      <c r="G410" s="3" t="s">
        <v>70</v>
      </c>
      <c r="H410" s="2">
        <v>72</v>
      </c>
      <c r="I410" s="10" t="str">
        <f>IFERROR(VLOOKUP($C410,Merchants!$A$2:$D$41,2,FALSE),"Merchant not found")</f>
        <v>Merchant_005</v>
      </c>
      <c r="J410" s="10" t="str">
        <f>IFERROR(VLOOKUP($C410,Merchants!$A$2:$D$41,3,FALSE),"Merchant not found")</f>
        <v>recharge</v>
      </c>
      <c r="K410" s="10" t="str">
        <f>IFERROR(VLOOKUP($C410,Merchants!$A$2:$D$41,4,FALSE),"Merchant not found")</f>
        <v>South</v>
      </c>
      <c r="L410" s="11" t="str">
        <f t="shared" si="6"/>
        <v>Standard</v>
      </c>
    </row>
    <row r="411" spans="1:12" x14ac:dyDescent="0.3">
      <c r="A411" s="5" t="s">
        <v>888</v>
      </c>
      <c r="B411" s="4">
        <v>281</v>
      </c>
      <c r="C411" s="4">
        <v>33</v>
      </c>
      <c r="D411" s="4" t="s">
        <v>889</v>
      </c>
      <c r="E411" s="4">
        <v>4999</v>
      </c>
      <c r="F411" s="5" t="s">
        <v>73</v>
      </c>
      <c r="G411" s="5" t="s">
        <v>70</v>
      </c>
      <c r="H411" s="4">
        <v>25</v>
      </c>
      <c r="I411" s="12" t="str">
        <f>IFERROR(VLOOKUP($C411,Merchants!$A$2:$D$41,2,FALSE),"Merchant not found")</f>
        <v>Merchant_033</v>
      </c>
      <c r="J411" s="12" t="str">
        <f>IFERROR(VLOOKUP($C411,Merchants!$A$2:$D$41,3,FALSE),"Merchant not found")</f>
        <v>bill_payment</v>
      </c>
      <c r="K411" s="12" t="str">
        <f>IFERROR(VLOOKUP($C411,Merchants!$A$2:$D$41,4,FALSE),"Merchant not found")</f>
        <v>East</v>
      </c>
      <c r="L411" s="13" t="str">
        <f t="shared" si="6"/>
        <v>Standard</v>
      </c>
    </row>
    <row r="412" spans="1:12" x14ac:dyDescent="0.3">
      <c r="A412" s="3" t="s">
        <v>890</v>
      </c>
      <c r="B412" s="2">
        <v>85</v>
      </c>
      <c r="C412" s="2">
        <v>21</v>
      </c>
      <c r="D412" s="2" t="s">
        <v>891</v>
      </c>
      <c r="E412" s="2">
        <v>99</v>
      </c>
      <c r="F412" s="3" t="s">
        <v>73</v>
      </c>
      <c r="G412" s="3" t="s">
        <v>70</v>
      </c>
      <c r="H412" s="2">
        <v>66</v>
      </c>
      <c r="I412" s="10" t="str">
        <f>IFERROR(VLOOKUP($C412,Merchants!$A$2:$D$41,2,FALSE),"Merchant not found")</f>
        <v>Merchant_021</v>
      </c>
      <c r="J412" s="10" t="str">
        <f>IFERROR(VLOOKUP($C412,Merchants!$A$2:$D$41,3,FALSE),"Merchant not found")</f>
        <v>food_delivery</v>
      </c>
      <c r="K412" s="10" t="str">
        <f>IFERROR(VLOOKUP($C412,Merchants!$A$2:$D$41,4,FALSE),"Merchant not found")</f>
        <v>East</v>
      </c>
      <c r="L412" s="11" t="str">
        <f t="shared" si="6"/>
        <v>Standard</v>
      </c>
    </row>
    <row r="413" spans="1:12" x14ac:dyDescent="0.3">
      <c r="A413" s="5" t="s">
        <v>892</v>
      </c>
      <c r="B413" s="4">
        <v>106</v>
      </c>
      <c r="C413" s="4">
        <v>38</v>
      </c>
      <c r="D413" s="4" t="s">
        <v>893</v>
      </c>
      <c r="E413" s="4">
        <v>499</v>
      </c>
      <c r="F413" s="5" t="s">
        <v>73</v>
      </c>
      <c r="G413" s="5" t="s">
        <v>70</v>
      </c>
      <c r="H413" s="4">
        <v>62</v>
      </c>
      <c r="I413" s="12" t="str">
        <f>IFERROR(VLOOKUP($C413,Merchants!$A$2:$D$41,2,FALSE),"Merchant not found")</f>
        <v>Merchant_038</v>
      </c>
      <c r="J413" s="12" t="str">
        <f>IFERROR(VLOOKUP($C413,Merchants!$A$2:$D$41,3,FALSE),"Merchant not found")</f>
        <v>grocery</v>
      </c>
      <c r="K413" s="12" t="str">
        <f>IFERROR(VLOOKUP($C413,Merchants!$A$2:$D$41,4,FALSE),"Merchant not found")</f>
        <v>East</v>
      </c>
      <c r="L413" s="13" t="str">
        <f t="shared" si="6"/>
        <v>Standard</v>
      </c>
    </row>
    <row r="414" spans="1:12" x14ac:dyDescent="0.3">
      <c r="A414" s="3" t="s">
        <v>894</v>
      </c>
      <c r="B414" s="2">
        <v>29</v>
      </c>
      <c r="C414" s="2">
        <v>30</v>
      </c>
      <c r="D414" s="2" t="s">
        <v>895</v>
      </c>
      <c r="E414" s="2">
        <v>149</v>
      </c>
      <c r="F414" s="3" t="s">
        <v>78</v>
      </c>
      <c r="G414" s="3" t="s">
        <v>70</v>
      </c>
      <c r="H414" s="2">
        <v>16</v>
      </c>
      <c r="I414" s="10" t="str">
        <f>IFERROR(VLOOKUP($C414,Merchants!$A$2:$D$41,2,FALSE),"Merchant not found")</f>
        <v>Merchant_030</v>
      </c>
      <c r="J414" s="10" t="str">
        <f>IFERROR(VLOOKUP($C414,Merchants!$A$2:$D$41,3,FALSE),"Merchant not found")</f>
        <v>travel</v>
      </c>
      <c r="K414" s="10" t="str">
        <f>IFERROR(VLOOKUP($C414,Merchants!$A$2:$D$41,4,FALSE),"Merchant not found")</f>
        <v>West</v>
      </c>
      <c r="L414" s="11" t="str">
        <f t="shared" si="6"/>
        <v>Standard</v>
      </c>
    </row>
    <row r="415" spans="1:12" x14ac:dyDescent="0.3">
      <c r="A415" s="5" t="s">
        <v>896</v>
      </c>
      <c r="B415" s="4">
        <v>289</v>
      </c>
      <c r="C415" s="4">
        <v>4</v>
      </c>
      <c r="D415" s="4" t="s">
        <v>897</v>
      </c>
      <c r="E415" s="4">
        <v>1499</v>
      </c>
      <c r="F415" s="5" t="s">
        <v>95</v>
      </c>
      <c r="G415" s="5" t="s">
        <v>70</v>
      </c>
      <c r="H415" s="4">
        <v>71</v>
      </c>
      <c r="I415" s="12" t="str">
        <f>IFERROR(VLOOKUP($C415,Merchants!$A$2:$D$41,2,FALSE),"Merchant not found")</f>
        <v>Merchant_004</v>
      </c>
      <c r="J415" s="12" t="str">
        <f>IFERROR(VLOOKUP($C415,Merchants!$A$2:$D$41,3,FALSE),"Merchant not found")</f>
        <v>ecommerce</v>
      </c>
      <c r="K415" s="12" t="str">
        <f>IFERROR(VLOOKUP($C415,Merchants!$A$2:$D$41,4,FALSE),"Merchant not found")</f>
        <v>East</v>
      </c>
      <c r="L415" s="13" t="str">
        <f t="shared" si="6"/>
        <v>Standard</v>
      </c>
    </row>
    <row r="416" spans="1:12" x14ac:dyDescent="0.3">
      <c r="A416" s="3" t="s">
        <v>898</v>
      </c>
      <c r="B416" s="2">
        <v>158</v>
      </c>
      <c r="C416" s="2">
        <v>2</v>
      </c>
      <c r="D416" s="2" t="s">
        <v>899</v>
      </c>
      <c r="E416" s="2">
        <v>1499</v>
      </c>
      <c r="F416" s="3" t="s">
        <v>95</v>
      </c>
      <c r="G416" s="3" t="s">
        <v>70</v>
      </c>
      <c r="H416" s="2">
        <v>50</v>
      </c>
      <c r="I416" s="10" t="str">
        <f>IFERROR(VLOOKUP($C416,Merchants!$A$2:$D$41,2,FALSE),"Merchant not found")</f>
        <v>Merchant_002</v>
      </c>
      <c r="J416" s="10" t="str">
        <f>IFERROR(VLOOKUP($C416,Merchants!$A$2:$D$41,3,FALSE),"Merchant not found")</f>
        <v>grocery</v>
      </c>
      <c r="K416" s="10" t="str">
        <f>IFERROR(VLOOKUP($C416,Merchants!$A$2:$D$41,4,FALSE),"Merchant not found")</f>
        <v>West</v>
      </c>
      <c r="L416" s="11" t="str">
        <f t="shared" si="6"/>
        <v>Standard</v>
      </c>
    </row>
    <row r="417" spans="1:12" x14ac:dyDescent="0.3">
      <c r="A417" s="5" t="s">
        <v>900</v>
      </c>
      <c r="B417" s="4">
        <v>112</v>
      </c>
      <c r="C417" s="4">
        <v>38</v>
      </c>
      <c r="D417" s="4" t="s">
        <v>901</v>
      </c>
      <c r="E417" s="4">
        <v>49</v>
      </c>
      <c r="F417" s="5" t="s">
        <v>73</v>
      </c>
      <c r="G417" s="5" t="s">
        <v>70</v>
      </c>
      <c r="H417" s="4">
        <v>9</v>
      </c>
      <c r="I417" s="12" t="str">
        <f>IFERROR(VLOOKUP($C417,Merchants!$A$2:$D$41,2,FALSE),"Merchant not found")</f>
        <v>Merchant_038</v>
      </c>
      <c r="J417" s="12" t="str">
        <f>IFERROR(VLOOKUP($C417,Merchants!$A$2:$D$41,3,FALSE),"Merchant not found")</f>
        <v>grocery</v>
      </c>
      <c r="K417" s="12" t="str">
        <f>IFERROR(VLOOKUP($C417,Merchants!$A$2:$D$41,4,FALSE),"Merchant not found")</f>
        <v>East</v>
      </c>
      <c r="L417" s="13" t="str">
        <f t="shared" si="6"/>
        <v>Standard</v>
      </c>
    </row>
    <row r="418" spans="1:12" x14ac:dyDescent="0.3">
      <c r="A418" s="3" t="s">
        <v>902</v>
      </c>
      <c r="B418" s="2">
        <v>33</v>
      </c>
      <c r="C418" s="2">
        <v>35</v>
      </c>
      <c r="D418" s="2" t="s">
        <v>903</v>
      </c>
      <c r="E418" s="2">
        <v>299</v>
      </c>
      <c r="F418" s="3" t="s">
        <v>95</v>
      </c>
      <c r="G418" s="3" t="s">
        <v>96</v>
      </c>
      <c r="H418" s="2">
        <v>7</v>
      </c>
      <c r="I418" s="10" t="str">
        <f>IFERROR(VLOOKUP($C418,Merchants!$A$2:$D$41,2,FALSE),"Merchant not found")</f>
        <v>Merchant_035</v>
      </c>
      <c r="J418" s="10" t="str">
        <f>IFERROR(VLOOKUP($C418,Merchants!$A$2:$D$41,3,FALSE),"Merchant not found")</f>
        <v>recharge</v>
      </c>
      <c r="K418" s="10" t="str">
        <f>IFERROR(VLOOKUP($C418,Merchants!$A$2:$D$41,4,FALSE),"Merchant not found")</f>
        <v>East</v>
      </c>
      <c r="L418" s="11" t="str">
        <f t="shared" si="6"/>
        <v>Standard</v>
      </c>
    </row>
    <row r="419" spans="1:12" x14ac:dyDescent="0.3">
      <c r="A419" s="5" t="s">
        <v>904</v>
      </c>
      <c r="B419" s="4">
        <v>242</v>
      </c>
      <c r="C419" s="4">
        <v>3</v>
      </c>
      <c r="D419" s="4" t="s">
        <v>905</v>
      </c>
      <c r="E419" s="4">
        <v>49</v>
      </c>
      <c r="F419" s="5" t="s">
        <v>73</v>
      </c>
      <c r="G419" s="5" t="s">
        <v>70</v>
      </c>
      <c r="H419" s="4">
        <v>36</v>
      </c>
      <c r="I419" s="12" t="str">
        <f>IFERROR(VLOOKUP($C419,Merchants!$A$2:$D$41,2,FALSE),"Merchant not found")</f>
        <v>Merchant_003</v>
      </c>
      <c r="J419" s="12" t="str">
        <f>IFERROR(VLOOKUP($C419,Merchants!$A$2:$D$41,3,FALSE),"Merchant not found")</f>
        <v>grocery</v>
      </c>
      <c r="K419" s="12" t="str">
        <f>IFERROR(VLOOKUP($C419,Merchants!$A$2:$D$41,4,FALSE),"Merchant not found")</f>
        <v>East</v>
      </c>
      <c r="L419" s="13" t="str">
        <f t="shared" si="6"/>
        <v>Standard</v>
      </c>
    </row>
    <row r="420" spans="1:12" x14ac:dyDescent="0.3">
      <c r="A420" s="3" t="s">
        <v>906</v>
      </c>
      <c r="B420" s="2">
        <v>70</v>
      </c>
      <c r="C420" s="2">
        <v>27</v>
      </c>
      <c r="D420" s="2" t="s">
        <v>907</v>
      </c>
      <c r="E420" s="2">
        <v>149</v>
      </c>
      <c r="F420" s="3" t="s">
        <v>73</v>
      </c>
      <c r="G420" s="3" t="s">
        <v>70</v>
      </c>
      <c r="H420" s="2">
        <v>47</v>
      </c>
      <c r="I420" s="10" t="str">
        <f>IFERROR(VLOOKUP($C420,Merchants!$A$2:$D$41,2,FALSE),"Merchant not found")</f>
        <v>Merchant_027</v>
      </c>
      <c r="J420" s="10" t="str">
        <f>IFERROR(VLOOKUP($C420,Merchants!$A$2:$D$41,3,FALSE),"Merchant not found")</f>
        <v>ecommerce</v>
      </c>
      <c r="K420" s="10" t="str">
        <f>IFERROR(VLOOKUP($C420,Merchants!$A$2:$D$41,4,FALSE),"Merchant not found")</f>
        <v>North</v>
      </c>
      <c r="L420" s="11" t="str">
        <f t="shared" si="6"/>
        <v>Standard</v>
      </c>
    </row>
    <row r="421" spans="1:12" x14ac:dyDescent="0.3">
      <c r="A421" s="5" t="s">
        <v>908</v>
      </c>
      <c r="B421" s="4">
        <v>194</v>
      </c>
      <c r="C421" s="4">
        <v>25</v>
      </c>
      <c r="D421" s="4" t="s">
        <v>909</v>
      </c>
      <c r="E421" s="4">
        <v>49</v>
      </c>
      <c r="F421" s="5" t="s">
        <v>69</v>
      </c>
      <c r="G421" s="5" t="s">
        <v>70</v>
      </c>
      <c r="H421" s="4">
        <v>10</v>
      </c>
      <c r="I421" s="12" t="str">
        <f>IFERROR(VLOOKUP($C421,Merchants!$A$2:$D$41,2,FALSE),"Merchant not found")</f>
        <v>Merchant_025</v>
      </c>
      <c r="J421" s="12" t="str">
        <f>IFERROR(VLOOKUP($C421,Merchants!$A$2:$D$41,3,FALSE),"Merchant not found")</f>
        <v>travel</v>
      </c>
      <c r="K421" s="12" t="str">
        <f>IFERROR(VLOOKUP($C421,Merchants!$A$2:$D$41,4,FALSE),"Merchant not found")</f>
        <v>South</v>
      </c>
      <c r="L421" s="13" t="str">
        <f t="shared" si="6"/>
        <v>Standard</v>
      </c>
    </row>
    <row r="422" spans="1:12" x14ac:dyDescent="0.3">
      <c r="A422" s="3" t="s">
        <v>910</v>
      </c>
      <c r="B422" s="2">
        <v>277</v>
      </c>
      <c r="C422" s="2">
        <v>9</v>
      </c>
      <c r="D422" s="2" t="s">
        <v>911</v>
      </c>
      <c r="E422" s="2">
        <v>799</v>
      </c>
      <c r="F422" s="3" t="s">
        <v>73</v>
      </c>
      <c r="G422" s="3" t="s">
        <v>70</v>
      </c>
      <c r="H422" s="2">
        <v>83</v>
      </c>
      <c r="I422" s="10" t="str">
        <f>IFERROR(VLOOKUP($C422,Merchants!$A$2:$D$41,2,FALSE),"Merchant not found")</f>
        <v>Merchant_009</v>
      </c>
      <c r="J422" s="10" t="str">
        <f>IFERROR(VLOOKUP($C422,Merchants!$A$2:$D$41,3,FALSE),"Merchant not found")</f>
        <v>ecommerce</v>
      </c>
      <c r="K422" s="10" t="str">
        <f>IFERROR(VLOOKUP($C422,Merchants!$A$2:$D$41,4,FALSE),"Merchant not found")</f>
        <v>North</v>
      </c>
      <c r="L422" s="11" t="str">
        <f t="shared" si="6"/>
        <v>Standard</v>
      </c>
    </row>
    <row r="423" spans="1:12" x14ac:dyDescent="0.3">
      <c r="A423" s="5" t="s">
        <v>912</v>
      </c>
      <c r="B423" s="4">
        <v>92</v>
      </c>
      <c r="C423" s="4">
        <v>35</v>
      </c>
      <c r="D423" s="4" t="s">
        <v>913</v>
      </c>
      <c r="E423" s="4">
        <v>49</v>
      </c>
      <c r="F423" s="5" t="s">
        <v>73</v>
      </c>
      <c r="G423" s="5" t="s">
        <v>70</v>
      </c>
      <c r="H423" s="4">
        <v>50</v>
      </c>
      <c r="I423" s="12" t="str">
        <f>IFERROR(VLOOKUP($C423,Merchants!$A$2:$D$41,2,FALSE),"Merchant not found")</f>
        <v>Merchant_035</v>
      </c>
      <c r="J423" s="12" t="str">
        <f>IFERROR(VLOOKUP($C423,Merchants!$A$2:$D$41,3,FALSE),"Merchant not found")</f>
        <v>recharge</v>
      </c>
      <c r="K423" s="12" t="str">
        <f>IFERROR(VLOOKUP($C423,Merchants!$A$2:$D$41,4,FALSE),"Merchant not found")</f>
        <v>East</v>
      </c>
      <c r="L423" s="13" t="str">
        <f t="shared" si="6"/>
        <v>Standard</v>
      </c>
    </row>
    <row r="424" spans="1:12" x14ac:dyDescent="0.3">
      <c r="A424" s="3" t="s">
        <v>914</v>
      </c>
      <c r="B424" s="2">
        <v>115</v>
      </c>
      <c r="C424" s="2">
        <v>1</v>
      </c>
      <c r="D424" s="2" t="s">
        <v>915</v>
      </c>
      <c r="E424" s="2">
        <v>149</v>
      </c>
      <c r="F424" s="3" t="s">
        <v>69</v>
      </c>
      <c r="G424" s="3" t="s">
        <v>70</v>
      </c>
      <c r="H424" s="2">
        <v>96</v>
      </c>
      <c r="I424" s="10" t="str">
        <f>IFERROR(VLOOKUP($C424,Merchants!$A$2:$D$41,2,FALSE),"Merchant not found")</f>
        <v>Merchant_001</v>
      </c>
      <c r="J424" s="10" t="str">
        <f>IFERROR(VLOOKUP($C424,Merchants!$A$2:$D$41,3,FALSE),"Merchant not found")</f>
        <v>ecommerce</v>
      </c>
      <c r="K424" s="10" t="str">
        <f>IFERROR(VLOOKUP($C424,Merchants!$A$2:$D$41,4,FALSE),"Merchant not found")</f>
        <v>South</v>
      </c>
      <c r="L424" s="11" t="str">
        <f t="shared" si="6"/>
        <v>Standard</v>
      </c>
    </row>
    <row r="425" spans="1:12" x14ac:dyDescent="0.3">
      <c r="A425" s="5" t="s">
        <v>916</v>
      </c>
      <c r="B425" s="4">
        <v>345</v>
      </c>
      <c r="C425" s="4">
        <v>35</v>
      </c>
      <c r="D425" s="4" t="s">
        <v>917</v>
      </c>
      <c r="E425" s="4">
        <v>499</v>
      </c>
      <c r="F425" s="5" t="s">
        <v>95</v>
      </c>
      <c r="G425" s="5" t="s">
        <v>70</v>
      </c>
      <c r="H425" s="4">
        <v>54</v>
      </c>
      <c r="I425" s="12" t="str">
        <f>IFERROR(VLOOKUP($C425,Merchants!$A$2:$D$41,2,FALSE),"Merchant not found")</f>
        <v>Merchant_035</v>
      </c>
      <c r="J425" s="12" t="str">
        <f>IFERROR(VLOOKUP($C425,Merchants!$A$2:$D$41,3,FALSE),"Merchant not found")</f>
        <v>recharge</v>
      </c>
      <c r="K425" s="12" t="str">
        <f>IFERROR(VLOOKUP($C425,Merchants!$A$2:$D$41,4,FALSE),"Merchant not found")</f>
        <v>East</v>
      </c>
      <c r="L425" s="13" t="str">
        <f t="shared" si="6"/>
        <v>Standard</v>
      </c>
    </row>
    <row r="426" spans="1:12" x14ac:dyDescent="0.3">
      <c r="A426" s="3" t="s">
        <v>918</v>
      </c>
      <c r="B426" s="2">
        <v>118</v>
      </c>
      <c r="C426" s="2">
        <v>16</v>
      </c>
      <c r="D426" s="2" t="s">
        <v>919</v>
      </c>
      <c r="E426" s="2">
        <v>49</v>
      </c>
      <c r="F426" s="3" t="s">
        <v>73</v>
      </c>
      <c r="G426" s="3" t="s">
        <v>70</v>
      </c>
      <c r="H426" s="2">
        <v>58</v>
      </c>
      <c r="I426" s="10" t="str">
        <f>IFERROR(VLOOKUP($C426,Merchants!$A$2:$D$41,2,FALSE),"Merchant not found")</f>
        <v>Merchant_016</v>
      </c>
      <c r="J426" s="10" t="str">
        <f>IFERROR(VLOOKUP($C426,Merchants!$A$2:$D$41,3,FALSE),"Merchant not found")</f>
        <v>bill_payment</v>
      </c>
      <c r="K426" s="10" t="str">
        <f>IFERROR(VLOOKUP($C426,Merchants!$A$2:$D$41,4,FALSE),"Merchant not found")</f>
        <v>West</v>
      </c>
      <c r="L426" s="11" t="str">
        <f t="shared" si="6"/>
        <v>Standard</v>
      </c>
    </row>
    <row r="427" spans="1:12" x14ac:dyDescent="0.3">
      <c r="A427" s="5" t="s">
        <v>920</v>
      </c>
      <c r="B427" s="4">
        <v>97</v>
      </c>
      <c r="C427" s="4">
        <v>8</v>
      </c>
      <c r="D427" s="4" t="s">
        <v>921</v>
      </c>
      <c r="E427" s="4">
        <v>99</v>
      </c>
      <c r="F427" s="5" t="s">
        <v>78</v>
      </c>
      <c r="G427" s="5" t="s">
        <v>70</v>
      </c>
      <c r="H427" s="4">
        <v>4</v>
      </c>
      <c r="I427" s="12" t="str">
        <f>IFERROR(VLOOKUP($C427,Merchants!$A$2:$D$41,2,FALSE),"Merchant not found")</f>
        <v>Merchant_008</v>
      </c>
      <c r="J427" s="12" t="str">
        <f>IFERROR(VLOOKUP($C427,Merchants!$A$2:$D$41,3,FALSE),"Merchant not found")</f>
        <v>food_delivery</v>
      </c>
      <c r="K427" s="12" t="str">
        <f>IFERROR(VLOOKUP($C427,Merchants!$A$2:$D$41,4,FALSE),"Merchant not found")</f>
        <v>North</v>
      </c>
      <c r="L427" s="13" t="str">
        <f t="shared" si="6"/>
        <v>Standard</v>
      </c>
    </row>
    <row r="428" spans="1:12" x14ac:dyDescent="0.3">
      <c r="A428" s="3" t="s">
        <v>922</v>
      </c>
      <c r="B428" s="2">
        <v>315</v>
      </c>
      <c r="C428" s="2">
        <v>2</v>
      </c>
      <c r="D428" s="2" t="s">
        <v>923</v>
      </c>
      <c r="E428" s="2">
        <v>299</v>
      </c>
      <c r="F428" s="3" t="s">
        <v>69</v>
      </c>
      <c r="G428" s="3" t="s">
        <v>70</v>
      </c>
      <c r="H428" s="2">
        <v>30</v>
      </c>
      <c r="I428" s="10" t="str">
        <f>IFERROR(VLOOKUP($C428,Merchants!$A$2:$D$41,2,FALSE),"Merchant not found")</f>
        <v>Merchant_002</v>
      </c>
      <c r="J428" s="10" t="str">
        <f>IFERROR(VLOOKUP($C428,Merchants!$A$2:$D$41,3,FALSE),"Merchant not found")</f>
        <v>grocery</v>
      </c>
      <c r="K428" s="10" t="str">
        <f>IFERROR(VLOOKUP($C428,Merchants!$A$2:$D$41,4,FALSE),"Merchant not found")</f>
        <v>West</v>
      </c>
      <c r="L428" s="11" t="str">
        <f t="shared" si="6"/>
        <v>Standard</v>
      </c>
    </row>
    <row r="429" spans="1:12" x14ac:dyDescent="0.3">
      <c r="A429" s="5" t="s">
        <v>924</v>
      </c>
      <c r="B429" s="4">
        <v>305</v>
      </c>
      <c r="C429" s="4">
        <v>3</v>
      </c>
      <c r="D429" s="4" t="s">
        <v>925</v>
      </c>
      <c r="E429" s="4">
        <v>299</v>
      </c>
      <c r="F429" s="5" t="s">
        <v>73</v>
      </c>
      <c r="G429" s="5" t="s">
        <v>70</v>
      </c>
      <c r="H429" s="4">
        <v>57</v>
      </c>
      <c r="I429" s="12" t="str">
        <f>IFERROR(VLOOKUP($C429,Merchants!$A$2:$D$41,2,FALSE),"Merchant not found")</f>
        <v>Merchant_003</v>
      </c>
      <c r="J429" s="12" t="str">
        <f>IFERROR(VLOOKUP($C429,Merchants!$A$2:$D$41,3,FALSE),"Merchant not found")</f>
        <v>grocery</v>
      </c>
      <c r="K429" s="12" t="str">
        <f>IFERROR(VLOOKUP($C429,Merchants!$A$2:$D$41,4,FALSE),"Merchant not found")</f>
        <v>East</v>
      </c>
      <c r="L429" s="13" t="str">
        <f t="shared" si="6"/>
        <v>Standard</v>
      </c>
    </row>
    <row r="430" spans="1:12" x14ac:dyDescent="0.3">
      <c r="A430" s="3" t="s">
        <v>926</v>
      </c>
      <c r="B430" s="2">
        <v>25</v>
      </c>
      <c r="C430" s="2">
        <v>16</v>
      </c>
      <c r="D430" s="2" t="s">
        <v>927</v>
      </c>
      <c r="E430" s="2">
        <v>299</v>
      </c>
      <c r="F430" s="3" t="s">
        <v>73</v>
      </c>
      <c r="G430" s="3" t="s">
        <v>70</v>
      </c>
      <c r="H430" s="2">
        <v>94</v>
      </c>
      <c r="I430" s="10" t="str">
        <f>IFERROR(VLOOKUP($C430,Merchants!$A$2:$D$41,2,FALSE),"Merchant not found")</f>
        <v>Merchant_016</v>
      </c>
      <c r="J430" s="10" t="str">
        <f>IFERROR(VLOOKUP($C430,Merchants!$A$2:$D$41,3,FALSE),"Merchant not found")</f>
        <v>bill_payment</v>
      </c>
      <c r="K430" s="10" t="str">
        <f>IFERROR(VLOOKUP($C430,Merchants!$A$2:$D$41,4,FALSE),"Merchant not found")</f>
        <v>West</v>
      </c>
      <c r="L430" s="11" t="str">
        <f t="shared" si="6"/>
        <v>Standard</v>
      </c>
    </row>
    <row r="431" spans="1:12" x14ac:dyDescent="0.3">
      <c r="A431" s="5" t="s">
        <v>928</v>
      </c>
      <c r="B431" s="4">
        <v>120</v>
      </c>
      <c r="C431" s="4">
        <v>35</v>
      </c>
      <c r="D431" s="4" t="s">
        <v>929</v>
      </c>
      <c r="E431" s="4">
        <v>49</v>
      </c>
      <c r="F431" s="5" t="s">
        <v>73</v>
      </c>
      <c r="G431" s="5" t="s">
        <v>70</v>
      </c>
      <c r="H431" s="4">
        <v>27</v>
      </c>
      <c r="I431" s="12" t="str">
        <f>IFERROR(VLOOKUP($C431,Merchants!$A$2:$D$41,2,FALSE),"Merchant not found")</f>
        <v>Merchant_035</v>
      </c>
      <c r="J431" s="12" t="str">
        <f>IFERROR(VLOOKUP($C431,Merchants!$A$2:$D$41,3,FALSE),"Merchant not found")</f>
        <v>recharge</v>
      </c>
      <c r="K431" s="12" t="str">
        <f>IFERROR(VLOOKUP($C431,Merchants!$A$2:$D$41,4,FALSE),"Merchant not found")</f>
        <v>East</v>
      </c>
      <c r="L431" s="13" t="str">
        <f t="shared" si="6"/>
        <v>Standard</v>
      </c>
    </row>
    <row r="432" spans="1:12" x14ac:dyDescent="0.3">
      <c r="A432" s="3" t="s">
        <v>930</v>
      </c>
      <c r="B432" s="2">
        <v>258</v>
      </c>
      <c r="C432" s="2">
        <v>19</v>
      </c>
      <c r="D432" s="2" t="s">
        <v>931</v>
      </c>
      <c r="E432" s="2">
        <v>49</v>
      </c>
      <c r="F432" s="3" t="s">
        <v>69</v>
      </c>
      <c r="G432" s="3" t="s">
        <v>70</v>
      </c>
      <c r="H432" s="2">
        <v>29</v>
      </c>
      <c r="I432" s="10" t="str">
        <f>IFERROR(VLOOKUP($C432,Merchants!$A$2:$D$41,2,FALSE),"Merchant not found")</f>
        <v>Merchant_019</v>
      </c>
      <c r="J432" s="10" t="str">
        <f>IFERROR(VLOOKUP($C432,Merchants!$A$2:$D$41,3,FALSE),"Merchant not found")</f>
        <v>grocery</v>
      </c>
      <c r="K432" s="10" t="str">
        <f>IFERROR(VLOOKUP($C432,Merchants!$A$2:$D$41,4,FALSE),"Merchant not found")</f>
        <v>North</v>
      </c>
      <c r="L432" s="11" t="str">
        <f t="shared" si="6"/>
        <v>Standard</v>
      </c>
    </row>
    <row r="433" spans="1:12" x14ac:dyDescent="0.3">
      <c r="A433" s="5" t="s">
        <v>932</v>
      </c>
      <c r="B433" s="4">
        <v>164</v>
      </c>
      <c r="C433" s="4">
        <v>37</v>
      </c>
      <c r="D433" s="4" t="s">
        <v>933</v>
      </c>
      <c r="E433" s="4">
        <v>799</v>
      </c>
      <c r="F433" s="5" t="s">
        <v>73</v>
      </c>
      <c r="G433" s="5" t="s">
        <v>70</v>
      </c>
      <c r="H433" s="4">
        <v>76</v>
      </c>
      <c r="I433" s="12" t="str">
        <f>IFERROR(VLOOKUP($C433,Merchants!$A$2:$D$41,2,FALSE),"Merchant not found")</f>
        <v>Merchant_037</v>
      </c>
      <c r="J433" s="12" t="str">
        <f>IFERROR(VLOOKUP($C433,Merchants!$A$2:$D$41,3,FALSE),"Merchant not found")</f>
        <v>entertainment</v>
      </c>
      <c r="K433" s="12" t="str">
        <f>IFERROR(VLOOKUP($C433,Merchants!$A$2:$D$41,4,FALSE),"Merchant not found")</f>
        <v>South</v>
      </c>
      <c r="L433" s="13" t="str">
        <f t="shared" si="6"/>
        <v>Standard</v>
      </c>
    </row>
    <row r="434" spans="1:12" x14ac:dyDescent="0.3">
      <c r="A434" s="3" t="s">
        <v>934</v>
      </c>
      <c r="B434" s="2">
        <v>165</v>
      </c>
      <c r="C434" s="2">
        <v>16</v>
      </c>
      <c r="D434" s="2" t="s">
        <v>935</v>
      </c>
      <c r="E434" s="2">
        <v>49</v>
      </c>
      <c r="F434" s="3" t="s">
        <v>69</v>
      </c>
      <c r="G434" s="3" t="s">
        <v>70</v>
      </c>
      <c r="H434" s="2">
        <v>38</v>
      </c>
      <c r="I434" s="10" t="str">
        <f>IFERROR(VLOOKUP($C434,Merchants!$A$2:$D$41,2,FALSE),"Merchant not found")</f>
        <v>Merchant_016</v>
      </c>
      <c r="J434" s="10" t="str">
        <f>IFERROR(VLOOKUP($C434,Merchants!$A$2:$D$41,3,FALSE),"Merchant not found")</f>
        <v>bill_payment</v>
      </c>
      <c r="K434" s="10" t="str">
        <f>IFERROR(VLOOKUP($C434,Merchants!$A$2:$D$41,4,FALSE),"Merchant not found")</f>
        <v>West</v>
      </c>
      <c r="L434" s="11" t="str">
        <f t="shared" si="6"/>
        <v>Standard</v>
      </c>
    </row>
    <row r="435" spans="1:12" x14ac:dyDescent="0.3">
      <c r="A435" s="5" t="s">
        <v>936</v>
      </c>
      <c r="B435" s="4">
        <v>267</v>
      </c>
      <c r="C435" s="4">
        <v>15</v>
      </c>
      <c r="D435" s="4" t="s">
        <v>937</v>
      </c>
      <c r="E435" s="4">
        <v>49</v>
      </c>
      <c r="F435" s="5" t="s">
        <v>78</v>
      </c>
      <c r="G435" s="5" t="s">
        <v>70</v>
      </c>
      <c r="H435" s="4">
        <v>52</v>
      </c>
      <c r="I435" s="12" t="str">
        <f>IFERROR(VLOOKUP($C435,Merchants!$A$2:$D$41,2,FALSE),"Merchant not found")</f>
        <v>Merchant_015</v>
      </c>
      <c r="J435" s="12" t="str">
        <f>IFERROR(VLOOKUP($C435,Merchants!$A$2:$D$41,3,FALSE),"Merchant not found")</f>
        <v>travel</v>
      </c>
      <c r="K435" s="12" t="str">
        <f>IFERROR(VLOOKUP($C435,Merchants!$A$2:$D$41,4,FALSE),"Merchant not found")</f>
        <v>North</v>
      </c>
      <c r="L435" s="13" t="str">
        <f t="shared" si="6"/>
        <v>Standard</v>
      </c>
    </row>
    <row r="436" spans="1:12" x14ac:dyDescent="0.3">
      <c r="A436" s="3" t="s">
        <v>938</v>
      </c>
      <c r="B436" s="2">
        <v>286</v>
      </c>
      <c r="C436" s="2">
        <v>38</v>
      </c>
      <c r="D436" s="2" t="s">
        <v>939</v>
      </c>
      <c r="E436" s="2">
        <v>299</v>
      </c>
      <c r="F436" s="3" t="s">
        <v>69</v>
      </c>
      <c r="G436" s="3" t="s">
        <v>70</v>
      </c>
      <c r="H436" s="2">
        <v>94</v>
      </c>
      <c r="I436" s="10" t="str">
        <f>IFERROR(VLOOKUP($C436,Merchants!$A$2:$D$41,2,FALSE),"Merchant not found")</f>
        <v>Merchant_038</v>
      </c>
      <c r="J436" s="10" t="str">
        <f>IFERROR(VLOOKUP($C436,Merchants!$A$2:$D$41,3,FALSE),"Merchant not found")</f>
        <v>grocery</v>
      </c>
      <c r="K436" s="10" t="str">
        <f>IFERROR(VLOOKUP($C436,Merchants!$A$2:$D$41,4,FALSE),"Merchant not found")</f>
        <v>East</v>
      </c>
      <c r="L436" s="11" t="str">
        <f t="shared" si="6"/>
        <v>Standard</v>
      </c>
    </row>
    <row r="437" spans="1:12" x14ac:dyDescent="0.3">
      <c r="A437" s="5" t="s">
        <v>940</v>
      </c>
      <c r="B437" s="4">
        <v>348</v>
      </c>
      <c r="C437" s="4">
        <v>28</v>
      </c>
      <c r="D437" s="4" t="s">
        <v>941</v>
      </c>
      <c r="E437" s="4">
        <v>499</v>
      </c>
      <c r="F437" s="5" t="s">
        <v>95</v>
      </c>
      <c r="G437" s="5" t="s">
        <v>70</v>
      </c>
      <c r="H437" s="4">
        <v>71</v>
      </c>
      <c r="I437" s="12" t="str">
        <f>IFERROR(VLOOKUP($C437,Merchants!$A$2:$D$41,2,FALSE),"Merchant not found")</f>
        <v>Merchant_028</v>
      </c>
      <c r="J437" s="12" t="str">
        <f>IFERROR(VLOOKUP($C437,Merchants!$A$2:$D$41,3,FALSE),"Merchant not found")</f>
        <v>ecommerce</v>
      </c>
      <c r="K437" s="12" t="str">
        <f>IFERROR(VLOOKUP($C437,Merchants!$A$2:$D$41,4,FALSE),"Merchant not found")</f>
        <v>South</v>
      </c>
      <c r="L437" s="13" t="str">
        <f t="shared" si="6"/>
        <v>Standard</v>
      </c>
    </row>
    <row r="438" spans="1:12" x14ac:dyDescent="0.3">
      <c r="A438" s="3" t="s">
        <v>942</v>
      </c>
      <c r="B438" s="2">
        <v>330</v>
      </c>
      <c r="C438" s="2">
        <v>25</v>
      </c>
      <c r="D438" s="2" t="s">
        <v>943</v>
      </c>
      <c r="E438" s="2">
        <v>799</v>
      </c>
      <c r="F438" s="3" t="s">
        <v>73</v>
      </c>
      <c r="G438" s="3" t="s">
        <v>70</v>
      </c>
      <c r="H438" s="2">
        <v>100</v>
      </c>
      <c r="I438" s="10" t="str">
        <f>IFERROR(VLOOKUP($C438,Merchants!$A$2:$D$41,2,FALSE),"Merchant not found")</f>
        <v>Merchant_025</v>
      </c>
      <c r="J438" s="10" t="str">
        <f>IFERROR(VLOOKUP($C438,Merchants!$A$2:$D$41,3,FALSE),"Merchant not found")</f>
        <v>travel</v>
      </c>
      <c r="K438" s="10" t="str">
        <f>IFERROR(VLOOKUP($C438,Merchants!$A$2:$D$41,4,FALSE),"Merchant not found")</f>
        <v>South</v>
      </c>
      <c r="L438" s="11" t="str">
        <f t="shared" si="6"/>
        <v>Standard</v>
      </c>
    </row>
    <row r="439" spans="1:12" x14ac:dyDescent="0.3">
      <c r="A439" s="5" t="s">
        <v>944</v>
      </c>
      <c r="B439" s="4">
        <v>214</v>
      </c>
      <c r="C439" s="4">
        <v>27</v>
      </c>
      <c r="D439" s="4" t="s">
        <v>945</v>
      </c>
      <c r="E439" s="4">
        <v>299</v>
      </c>
      <c r="F439" s="5" t="s">
        <v>95</v>
      </c>
      <c r="G439" s="5" t="s">
        <v>70</v>
      </c>
      <c r="H439" s="4">
        <v>19</v>
      </c>
      <c r="I439" s="12" t="str">
        <f>IFERROR(VLOOKUP($C439,Merchants!$A$2:$D$41,2,FALSE),"Merchant not found")</f>
        <v>Merchant_027</v>
      </c>
      <c r="J439" s="12" t="str">
        <f>IFERROR(VLOOKUP($C439,Merchants!$A$2:$D$41,3,FALSE),"Merchant not found")</f>
        <v>ecommerce</v>
      </c>
      <c r="K439" s="12" t="str">
        <f>IFERROR(VLOOKUP($C439,Merchants!$A$2:$D$41,4,FALSE),"Merchant not found")</f>
        <v>North</v>
      </c>
      <c r="L439" s="13" t="str">
        <f t="shared" si="6"/>
        <v>Standard</v>
      </c>
    </row>
    <row r="440" spans="1:12" x14ac:dyDescent="0.3">
      <c r="A440" s="3" t="s">
        <v>946</v>
      </c>
      <c r="B440" s="2">
        <v>276</v>
      </c>
      <c r="C440" s="2">
        <v>31</v>
      </c>
      <c r="D440" s="2" t="s">
        <v>947</v>
      </c>
      <c r="E440" s="2">
        <v>499</v>
      </c>
      <c r="F440" s="3" t="s">
        <v>73</v>
      </c>
      <c r="G440" s="3" t="s">
        <v>70</v>
      </c>
      <c r="H440" s="2">
        <v>30</v>
      </c>
      <c r="I440" s="10" t="str">
        <f>IFERROR(VLOOKUP($C440,Merchants!$A$2:$D$41,2,FALSE),"Merchant not found")</f>
        <v>Merchant_031</v>
      </c>
      <c r="J440" s="10" t="str">
        <f>IFERROR(VLOOKUP($C440,Merchants!$A$2:$D$41,3,FALSE),"Merchant not found")</f>
        <v>bill_payment</v>
      </c>
      <c r="K440" s="10" t="str">
        <f>IFERROR(VLOOKUP($C440,Merchants!$A$2:$D$41,4,FALSE),"Merchant not found")</f>
        <v>East</v>
      </c>
      <c r="L440" s="11" t="str">
        <f t="shared" si="6"/>
        <v>Standard</v>
      </c>
    </row>
    <row r="441" spans="1:12" x14ac:dyDescent="0.3">
      <c r="A441" s="5" t="s">
        <v>948</v>
      </c>
      <c r="B441" s="4">
        <v>74</v>
      </c>
      <c r="C441" s="4">
        <v>30</v>
      </c>
      <c r="D441" s="4" t="s">
        <v>949</v>
      </c>
      <c r="E441" s="4">
        <v>49</v>
      </c>
      <c r="F441" s="5" t="s">
        <v>73</v>
      </c>
      <c r="G441" s="5" t="s">
        <v>70</v>
      </c>
      <c r="H441" s="4">
        <v>7</v>
      </c>
      <c r="I441" s="12" t="str">
        <f>IFERROR(VLOOKUP($C441,Merchants!$A$2:$D$41,2,FALSE),"Merchant not found")</f>
        <v>Merchant_030</v>
      </c>
      <c r="J441" s="12" t="str">
        <f>IFERROR(VLOOKUP($C441,Merchants!$A$2:$D$41,3,FALSE),"Merchant not found")</f>
        <v>travel</v>
      </c>
      <c r="K441" s="12" t="str">
        <f>IFERROR(VLOOKUP($C441,Merchants!$A$2:$D$41,4,FALSE),"Merchant not found")</f>
        <v>West</v>
      </c>
      <c r="L441" s="13" t="str">
        <f t="shared" si="6"/>
        <v>Standard</v>
      </c>
    </row>
    <row r="442" spans="1:12" x14ac:dyDescent="0.3">
      <c r="A442" s="3" t="s">
        <v>950</v>
      </c>
      <c r="B442" s="2">
        <v>286</v>
      </c>
      <c r="C442" s="2">
        <v>34</v>
      </c>
      <c r="D442" s="2" t="s">
        <v>951</v>
      </c>
      <c r="E442" s="2">
        <v>49</v>
      </c>
      <c r="F442" s="3" t="s">
        <v>95</v>
      </c>
      <c r="G442" s="3" t="s">
        <v>70</v>
      </c>
      <c r="H442" s="2">
        <v>17</v>
      </c>
      <c r="I442" s="10" t="str">
        <f>IFERROR(VLOOKUP($C442,Merchants!$A$2:$D$41,2,FALSE),"Merchant not found")</f>
        <v>Merchant_034</v>
      </c>
      <c r="J442" s="10" t="str">
        <f>IFERROR(VLOOKUP($C442,Merchants!$A$2:$D$41,3,FALSE),"Merchant not found")</f>
        <v>travel</v>
      </c>
      <c r="K442" s="10" t="str">
        <f>IFERROR(VLOOKUP($C442,Merchants!$A$2:$D$41,4,FALSE),"Merchant not found")</f>
        <v>South</v>
      </c>
      <c r="L442" s="11" t="str">
        <f t="shared" si="6"/>
        <v>Standard</v>
      </c>
    </row>
    <row r="443" spans="1:12" x14ac:dyDescent="0.3">
      <c r="A443" s="5" t="s">
        <v>952</v>
      </c>
      <c r="B443" s="4">
        <v>105</v>
      </c>
      <c r="C443" s="4">
        <v>22</v>
      </c>
      <c r="D443" s="4" t="s">
        <v>953</v>
      </c>
      <c r="E443" s="4">
        <v>4999</v>
      </c>
      <c r="F443" s="5" t="s">
        <v>73</v>
      </c>
      <c r="G443" s="5" t="s">
        <v>70</v>
      </c>
      <c r="H443" s="4">
        <v>82</v>
      </c>
      <c r="I443" s="12" t="str">
        <f>IFERROR(VLOOKUP($C443,Merchants!$A$2:$D$41,2,FALSE),"Merchant not found")</f>
        <v>Merchant_022</v>
      </c>
      <c r="J443" s="12" t="str">
        <f>IFERROR(VLOOKUP($C443,Merchants!$A$2:$D$41,3,FALSE),"Merchant not found")</f>
        <v>travel</v>
      </c>
      <c r="K443" s="12" t="str">
        <f>IFERROR(VLOOKUP($C443,Merchants!$A$2:$D$41,4,FALSE),"Merchant not found")</f>
        <v>South</v>
      </c>
      <c r="L443" s="13" t="str">
        <f t="shared" si="6"/>
        <v>High-Value Merchant Day</v>
      </c>
    </row>
    <row r="444" spans="1:12" x14ac:dyDescent="0.3">
      <c r="A444" s="3" t="s">
        <v>954</v>
      </c>
      <c r="B444" s="2">
        <v>190</v>
      </c>
      <c r="C444" s="2">
        <v>6</v>
      </c>
      <c r="D444" s="2" t="s">
        <v>955</v>
      </c>
      <c r="E444" s="2">
        <v>799</v>
      </c>
      <c r="F444" s="3" t="s">
        <v>69</v>
      </c>
      <c r="G444" s="3" t="s">
        <v>70</v>
      </c>
      <c r="H444" s="2">
        <v>68</v>
      </c>
      <c r="I444" s="10" t="str">
        <f>IFERROR(VLOOKUP($C444,Merchants!$A$2:$D$41,2,FALSE),"Merchant not found")</f>
        <v>Merchant_006</v>
      </c>
      <c r="J444" s="10" t="str">
        <f>IFERROR(VLOOKUP($C444,Merchants!$A$2:$D$41,3,FALSE),"Merchant not found")</f>
        <v>food_delivery</v>
      </c>
      <c r="K444" s="10" t="str">
        <f>IFERROR(VLOOKUP($C444,Merchants!$A$2:$D$41,4,FALSE),"Merchant not found")</f>
        <v>South</v>
      </c>
      <c r="L444" s="11" t="str">
        <f t="shared" si="6"/>
        <v>Standard</v>
      </c>
    </row>
    <row r="445" spans="1:12" x14ac:dyDescent="0.3">
      <c r="A445" s="5" t="s">
        <v>956</v>
      </c>
      <c r="B445" s="4">
        <v>138</v>
      </c>
      <c r="C445" s="4">
        <v>25</v>
      </c>
      <c r="D445" s="4" t="s">
        <v>957</v>
      </c>
      <c r="E445" s="4">
        <v>299</v>
      </c>
      <c r="F445" s="5" t="s">
        <v>69</v>
      </c>
      <c r="G445" s="5" t="s">
        <v>70</v>
      </c>
      <c r="H445" s="4">
        <v>86</v>
      </c>
      <c r="I445" s="12" t="str">
        <f>IFERROR(VLOOKUP($C445,Merchants!$A$2:$D$41,2,FALSE),"Merchant not found")</f>
        <v>Merchant_025</v>
      </c>
      <c r="J445" s="12" t="str">
        <f>IFERROR(VLOOKUP($C445,Merchants!$A$2:$D$41,3,FALSE),"Merchant not found")</f>
        <v>travel</v>
      </c>
      <c r="K445" s="12" t="str">
        <f>IFERROR(VLOOKUP($C445,Merchants!$A$2:$D$41,4,FALSE),"Merchant not found")</f>
        <v>South</v>
      </c>
      <c r="L445" s="13" t="str">
        <f t="shared" si="6"/>
        <v>Standard</v>
      </c>
    </row>
    <row r="446" spans="1:12" x14ac:dyDescent="0.3">
      <c r="A446" s="3" t="s">
        <v>958</v>
      </c>
      <c r="B446" s="2">
        <v>38</v>
      </c>
      <c r="C446" s="2">
        <v>13</v>
      </c>
      <c r="D446" s="2" t="s">
        <v>959</v>
      </c>
      <c r="E446" s="2">
        <v>4999</v>
      </c>
      <c r="F446" s="3" t="s">
        <v>78</v>
      </c>
      <c r="G446" s="3" t="s">
        <v>70</v>
      </c>
      <c r="H446" s="2">
        <v>97</v>
      </c>
      <c r="I446" s="10" t="str">
        <f>IFERROR(VLOOKUP($C446,Merchants!$A$2:$D$41,2,FALSE),"Merchant not found")</f>
        <v>Merchant_013</v>
      </c>
      <c r="J446" s="10" t="str">
        <f>IFERROR(VLOOKUP($C446,Merchants!$A$2:$D$41,3,FALSE),"Merchant not found")</f>
        <v>travel</v>
      </c>
      <c r="K446" s="10" t="str">
        <f>IFERROR(VLOOKUP($C446,Merchants!$A$2:$D$41,4,FALSE),"Merchant not found")</f>
        <v>East</v>
      </c>
      <c r="L446" s="11" t="str">
        <f t="shared" si="6"/>
        <v>Standard</v>
      </c>
    </row>
    <row r="447" spans="1:12" x14ac:dyDescent="0.3">
      <c r="A447" s="5" t="s">
        <v>960</v>
      </c>
      <c r="B447" s="4">
        <v>287</v>
      </c>
      <c r="C447" s="4">
        <v>14</v>
      </c>
      <c r="D447" s="4" t="s">
        <v>961</v>
      </c>
      <c r="E447" s="4">
        <v>99</v>
      </c>
      <c r="F447" s="5" t="s">
        <v>69</v>
      </c>
      <c r="G447" s="5" t="s">
        <v>70</v>
      </c>
      <c r="H447" s="4">
        <v>61</v>
      </c>
      <c r="I447" s="12" t="str">
        <f>IFERROR(VLOOKUP($C447,Merchants!$A$2:$D$41,2,FALSE),"Merchant not found")</f>
        <v>Merchant_014</v>
      </c>
      <c r="J447" s="12" t="str">
        <f>IFERROR(VLOOKUP($C447,Merchants!$A$2:$D$41,3,FALSE),"Merchant not found")</f>
        <v>grocery</v>
      </c>
      <c r="K447" s="12" t="str">
        <f>IFERROR(VLOOKUP($C447,Merchants!$A$2:$D$41,4,FALSE),"Merchant not found")</f>
        <v>East</v>
      </c>
      <c r="L447" s="13" t="str">
        <f t="shared" si="6"/>
        <v>Standard</v>
      </c>
    </row>
    <row r="448" spans="1:12" x14ac:dyDescent="0.3">
      <c r="A448" s="3" t="s">
        <v>962</v>
      </c>
      <c r="B448" s="2">
        <v>8</v>
      </c>
      <c r="C448" s="2">
        <v>14</v>
      </c>
      <c r="D448" s="2" t="s">
        <v>963</v>
      </c>
      <c r="E448" s="2">
        <v>49</v>
      </c>
      <c r="F448" s="3" t="s">
        <v>73</v>
      </c>
      <c r="G448" s="3" t="s">
        <v>70</v>
      </c>
      <c r="H448" s="2">
        <v>24</v>
      </c>
      <c r="I448" s="10" t="str">
        <f>IFERROR(VLOOKUP($C448,Merchants!$A$2:$D$41,2,FALSE),"Merchant not found")</f>
        <v>Merchant_014</v>
      </c>
      <c r="J448" s="10" t="str">
        <f>IFERROR(VLOOKUP($C448,Merchants!$A$2:$D$41,3,FALSE),"Merchant not found")</f>
        <v>grocery</v>
      </c>
      <c r="K448" s="10" t="str">
        <f>IFERROR(VLOOKUP($C448,Merchants!$A$2:$D$41,4,FALSE),"Merchant not found")</f>
        <v>East</v>
      </c>
      <c r="L448" s="11" t="str">
        <f t="shared" si="6"/>
        <v>Standard</v>
      </c>
    </row>
    <row r="449" spans="1:12" x14ac:dyDescent="0.3">
      <c r="A449" s="5" t="s">
        <v>964</v>
      </c>
      <c r="B449" s="4">
        <v>246</v>
      </c>
      <c r="C449" s="4">
        <v>16</v>
      </c>
      <c r="D449" s="4" t="s">
        <v>965</v>
      </c>
      <c r="E449" s="4">
        <v>1499</v>
      </c>
      <c r="F449" s="5" t="s">
        <v>69</v>
      </c>
      <c r="G449" s="5" t="s">
        <v>70</v>
      </c>
      <c r="H449" s="4">
        <v>89</v>
      </c>
      <c r="I449" s="12" t="str">
        <f>IFERROR(VLOOKUP($C449,Merchants!$A$2:$D$41,2,FALSE),"Merchant not found")</f>
        <v>Merchant_016</v>
      </c>
      <c r="J449" s="12" t="str">
        <f>IFERROR(VLOOKUP($C449,Merchants!$A$2:$D$41,3,FALSE),"Merchant not found")</f>
        <v>bill_payment</v>
      </c>
      <c r="K449" s="12" t="str">
        <f>IFERROR(VLOOKUP($C449,Merchants!$A$2:$D$41,4,FALSE),"Merchant not found")</f>
        <v>West</v>
      </c>
      <c r="L449" s="13" t="str">
        <f t="shared" si="6"/>
        <v>Standard</v>
      </c>
    </row>
    <row r="450" spans="1:12" x14ac:dyDescent="0.3">
      <c r="A450" s="3" t="s">
        <v>966</v>
      </c>
      <c r="B450" s="2">
        <v>204</v>
      </c>
      <c r="C450" s="2">
        <v>16</v>
      </c>
      <c r="D450" s="2" t="s">
        <v>967</v>
      </c>
      <c r="E450" s="2">
        <v>149</v>
      </c>
      <c r="F450" s="3" t="s">
        <v>73</v>
      </c>
      <c r="G450" s="3" t="s">
        <v>70</v>
      </c>
      <c r="H450" s="2">
        <v>70</v>
      </c>
      <c r="I450" s="10" t="str">
        <f>IFERROR(VLOOKUP($C450,Merchants!$A$2:$D$41,2,FALSE),"Merchant not found")</f>
        <v>Merchant_016</v>
      </c>
      <c r="J450" s="10" t="str">
        <f>IFERROR(VLOOKUP($C450,Merchants!$A$2:$D$41,3,FALSE),"Merchant not found")</f>
        <v>bill_payment</v>
      </c>
      <c r="K450" s="10" t="str">
        <f>IFERROR(VLOOKUP($C450,Merchants!$A$2:$D$41,4,FALSE),"Merchant not found")</f>
        <v>West</v>
      </c>
      <c r="L450" s="11" t="str">
        <f t="shared" ref="L450:L513" si="7">IF(AND(SUMPRODUCT(($C$2:$C$548=$C450)*(LEFT($D$2:$D$548,10)=LEFT($D450,10))*$E$2:$E$548)&gt;5000,$K450&lt;&gt;"East"),"High-Value Merchant Day","Standard")</f>
        <v>Standard</v>
      </c>
    </row>
    <row r="451" spans="1:12" x14ac:dyDescent="0.3">
      <c r="A451" s="5" t="s">
        <v>968</v>
      </c>
      <c r="B451" s="4">
        <v>239</v>
      </c>
      <c r="C451" s="4">
        <v>35</v>
      </c>
      <c r="D451" s="4" t="s">
        <v>969</v>
      </c>
      <c r="E451" s="4">
        <v>4999</v>
      </c>
      <c r="F451" s="5" t="s">
        <v>73</v>
      </c>
      <c r="G451" s="5" t="s">
        <v>70</v>
      </c>
      <c r="H451" s="4">
        <v>83</v>
      </c>
      <c r="I451" s="12" t="str">
        <f>IFERROR(VLOOKUP($C451,Merchants!$A$2:$D$41,2,FALSE),"Merchant not found")</f>
        <v>Merchant_035</v>
      </c>
      <c r="J451" s="12" t="str">
        <f>IFERROR(VLOOKUP($C451,Merchants!$A$2:$D$41,3,FALSE),"Merchant not found")</f>
        <v>recharge</v>
      </c>
      <c r="K451" s="12" t="str">
        <f>IFERROR(VLOOKUP($C451,Merchants!$A$2:$D$41,4,FALSE),"Merchant not found")</f>
        <v>East</v>
      </c>
      <c r="L451" s="13" t="str">
        <f t="shared" si="7"/>
        <v>Standard</v>
      </c>
    </row>
    <row r="452" spans="1:12" x14ac:dyDescent="0.3">
      <c r="A452" s="3" t="s">
        <v>970</v>
      </c>
      <c r="B452" s="2">
        <v>185</v>
      </c>
      <c r="C452" s="2">
        <v>33</v>
      </c>
      <c r="D452" s="2" t="s">
        <v>971</v>
      </c>
      <c r="E452" s="2">
        <v>299</v>
      </c>
      <c r="F452" s="3" t="s">
        <v>73</v>
      </c>
      <c r="G452" s="3" t="s">
        <v>70</v>
      </c>
      <c r="H452" s="2">
        <v>63</v>
      </c>
      <c r="I452" s="10" t="str">
        <f>IFERROR(VLOOKUP($C452,Merchants!$A$2:$D$41,2,FALSE),"Merchant not found")</f>
        <v>Merchant_033</v>
      </c>
      <c r="J452" s="10" t="str">
        <f>IFERROR(VLOOKUP($C452,Merchants!$A$2:$D$41,3,FALSE),"Merchant not found")</f>
        <v>bill_payment</v>
      </c>
      <c r="K452" s="10" t="str">
        <f>IFERROR(VLOOKUP($C452,Merchants!$A$2:$D$41,4,FALSE),"Merchant not found")</f>
        <v>East</v>
      </c>
      <c r="L452" s="11" t="str">
        <f t="shared" si="7"/>
        <v>Standard</v>
      </c>
    </row>
    <row r="453" spans="1:12" x14ac:dyDescent="0.3">
      <c r="A453" s="5" t="s">
        <v>972</v>
      </c>
      <c r="B453" s="4">
        <v>241</v>
      </c>
      <c r="C453" s="4">
        <v>21</v>
      </c>
      <c r="D453" s="4" t="s">
        <v>973</v>
      </c>
      <c r="E453" s="4">
        <v>299</v>
      </c>
      <c r="F453" s="5" t="s">
        <v>95</v>
      </c>
      <c r="G453" s="5" t="s">
        <v>70</v>
      </c>
      <c r="H453" s="4">
        <v>26</v>
      </c>
      <c r="I453" s="12" t="str">
        <f>IFERROR(VLOOKUP($C453,Merchants!$A$2:$D$41,2,FALSE),"Merchant not found")</f>
        <v>Merchant_021</v>
      </c>
      <c r="J453" s="12" t="str">
        <f>IFERROR(VLOOKUP($C453,Merchants!$A$2:$D$41,3,FALSE),"Merchant not found")</f>
        <v>food_delivery</v>
      </c>
      <c r="K453" s="12" t="str">
        <f>IFERROR(VLOOKUP($C453,Merchants!$A$2:$D$41,4,FALSE),"Merchant not found")</f>
        <v>East</v>
      </c>
      <c r="L453" s="13" t="str">
        <f t="shared" si="7"/>
        <v>Standard</v>
      </c>
    </row>
    <row r="454" spans="1:12" x14ac:dyDescent="0.3">
      <c r="A454" s="3" t="s">
        <v>974</v>
      </c>
      <c r="B454" s="2">
        <v>24</v>
      </c>
      <c r="C454" s="2">
        <v>37</v>
      </c>
      <c r="D454" s="2" t="s">
        <v>975</v>
      </c>
      <c r="E454" s="2">
        <v>149</v>
      </c>
      <c r="F454" s="3" t="s">
        <v>73</v>
      </c>
      <c r="G454" s="3" t="s">
        <v>70</v>
      </c>
      <c r="H454" s="2">
        <v>28</v>
      </c>
      <c r="I454" s="10" t="str">
        <f>IFERROR(VLOOKUP($C454,Merchants!$A$2:$D$41,2,FALSE),"Merchant not found")</f>
        <v>Merchant_037</v>
      </c>
      <c r="J454" s="10" t="str">
        <f>IFERROR(VLOOKUP($C454,Merchants!$A$2:$D$41,3,FALSE),"Merchant not found")</f>
        <v>entertainment</v>
      </c>
      <c r="K454" s="10" t="str">
        <f>IFERROR(VLOOKUP($C454,Merchants!$A$2:$D$41,4,FALSE),"Merchant not found")</f>
        <v>South</v>
      </c>
      <c r="L454" s="11" t="str">
        <f t="shared" si="7"/>
        <v>Standard</v>
      </c>
    </row>
    <row r="455" spans="1:12" x14ac:dyDescent="0.3">
      <c r="A455" s="5" t="s">
        <v>976</v>
      </c>
      <c r="B455" s="4">
        <v>134</v>
      </c>
      <c r="C455" s="4">
        <v>36</v>
      </c>
      <c r="D455" s="4" t="s">
        <v>977</v>
      </c>
      <c r="E455" s="4">
        <v>1499</v>
      </c>
      <c r="F455" s="5" t="s">
        <v>73</v>
      </c>
      <c r="G455" s="5" t="s">
        <v>70</v>
      </c>
      <c r="H455" s="4">
        <v>74</v>
      </c>
      <c r="I455" s="12" t="str">
        <f>IFERROR(VLOOKUP($C455,Merchants!$A$2:$D$41,2,FALSE),"Merchant not found")</f>
        <v>Merchant_036</v>
      </c>
      <c r="J455" s="12" t="str">
        <f>IFERROR(VLOOKUP($C455,Merchants!$A$2:$D$41,3,FALSE),"Merchant not found")</f>
        <v>entertainment</v>
      </c>
      <c r="K455" s="12" t="str">
        <f>IFERROR(VLOOKUP($C455,Merchants!$A$2:$D$41,4,FALSE),"Merchant not found")</f>
        <v>East</v>
      </c>
      <c r="L455" s="13" t="str">
        <f t="shared" si="7"/>
        <v>Standard</v>
      </c>
    </row>
    <row r="456" spans="1:12" x14ac:dyDescent="0.3">
      <c r="A456" s="3" t="s">
        <v>978</v>
      </c>
      <c r="B456" s="2">
        <v>152</v>
      </c>
      <c r="C456" s="2">
        <v>10</v>
      </c>
      <c r="D456" s="2" t="s">
        <v>979</v>
      </c>
      <c r="E456" s="2">
        <v>499</v>
      </c>
      <c r="F456" s="3" t="s">
        <v>69</v>
      </c>
      <c r="G456" s="3" t="s">
        <v>70</v>
      </c>
      <c r="H456" s="2">
        <v>25</v>
      </c>
      <c r="I456" s="10" t="str">
        <f>IFERROR(VLOOKUP($C456,Merchants!$A$2:$D$41,2,FALSE),"Merchant not found")</f>
        <v>Merchant_010</v>
      </c>
      <c r="J456" s="10" t="str">
        <f>IFERROR(VLOOKUP($C456,Merchants!$A$2:$D$41,3,FALSE),"Merchant not found")</f>
        <v>grocery</v>
      </c>
      <c r="K456" s="10" t="str">
        <f>IFERROR(VLOOKUP($C456,Merchants!$A$2:$D$41,4,FALSE),"Merchant not found")</f>
        <v>West</v>
      </c>
      <c r="L456" s="11" t="str">
        <f t="shared" si="7"/>
        <v>Standard</v>
      </c>
    </row>
    <row r="457" spans="1:12" x14ac:dyDescent="0.3">
      <c r="A457" s="5" t="s">
        <v>980</v>
      </c>
      <c r="B457" s="4">
        <v>292</v>
      </c>
      <c r="C457" s="4">
        <v>16</v>
      </c>
      <c r="D457" s="4" t="s">
        <v>981</v>
      </c>
      <c r="E457" s="4">
        <v>499</v>
      </c>
      <c r="F457" s="5" t="s">
        <v>78</v>
      </c>
      <c r="G457" s="5" t="s">
        <v>70</v>
      </c>
      <c r="H457" s="4">
        <v>63</v>
      </c>
      <c r="I457" s="12" t="str">
        <f>IFERROR(VLOOKUP($C457,Merchants!$A$2:$D$41,2,FALSE),"Merchant not found")</f>
        <v>Merchant_016</v>
      </c>
      <c r="J457" s="12" t="str">
        <f>IFERROR(VLOOKUP($C457,Merchants!$A$2:$D$41,3,FALSE),"Merchant not found")</f>
        <v>bill_payment</v>
      </c>
      <c r="K457" s="12" t="str">
        <f>IFERROR(VLOOKUP($C457,Merchants!$A$2:$D$41,4,FALSE),"Merchant not found")</f>
        <v>West</v>
      </c>
      <c r="L457" s="13" t="str">
        <f t="shared" si="7"/>
        <v>Standard</v>
      </c>
    </row>
    <row r="458" spans="1:12" x14ac:dyDescent="0.3">
      <c r="A458" s="3" t="s">
        <v>982</v>
      </c>
      <c r="B458" s="2">
        <v>173</v>
      </c>
      <c r="C458" s="2">
        <v>17</v>
      </c>
      <c r="D458" s="2" t="s">
        <v>983</v>
      </c>
      <c r="E458" s="2">
        <v>99</v>
      </c>
      <c r="F458" s="3" t="s">
        <v>78</v>
      </c>
      <c r="G458" s="3" t="s">
        <v>70</v>
      </c>
      <c r="H458" s="2">
        <v>97</v>
      </c>
      <c r="I458" s="10" t="str">
        <f>IFERROR(VLOOKUP($C458,Merchants!$A$2:$D$41,2,FALSE),"Merchant not found")</f>
        <v>Merchant_017</v>
      </c>
      <c r="J458" s="10" t="str">
        <f>IFERROR(VLOOKUP($C458,Merchants!$A$2:$D$41,3,FALSE),"Merchant not found")</f>
        <v>grocery</v>
      </c>
      <c r="K458" s="10" t="str">
        <f>IFERROR(VLOOKUP($C458,Merchants!$A$2:$D$41,4,FALSE),"Merchant not found")</f>
        <v>North</v>
      </c>
      <c r="L458" s="11" t="str">
        <f t="shared" si="7"/>
        <v>Standard</v>
      </c>
    </row>
    <row r="459" spans="1:12" x14ac:dyDescent="0.3">
      <c r="A459" s="5" t="s">
        <v>984</v>
      </c>
      <c r="B459" s="4">
        <v>329</v>
      </c>
      <c r="C459" s="4">
        <v>32</v>
      </c>
      <c r="D459" s="4" t="s">
        <v>985</v>
      </c>
      <c r="E459" s="4">
        <v>1499</v>
      </c>
      <c r="F459" s="5" t="s">
        <v>73</v>
      </c>
      <c r="G459" s="5" t="s">
        <v>70</v>
      </c>
      <c r="H459" s="4">
        <v>58</v>
      </c>
      <c r="I459" s="12" t="str">
        <f>IFERROR(VLOOKUP($C459,Merchants!$A$2:$D$41,2,FALSE),"Merchant not found")</f>
        <v>Merchant_032</v>
      </c>
      <c r="J459" s="12" t="str">
        <f>IFERROR(VLOOKUP($C459,Merchants!$A$2:$D$41,3,FALSE),"Merchant not found")</f>
        <v>food_delivery</v>
      </c>
      <c r="K459" s="12" t="str">
        <f>IFERROR(VLOOKUP($C459,Merchants!$A$2:$D$41,4,FALSE),"Merchant not found")</f>
        <v>West</v>
      </c>
      <c r="L459" s="13" t="str">
        <f t="shared" si="7"/>
        <v>Standard</v>
      </c>
    </row>
    <row r="460" spans="1:12" x14ac:dyDescent="0.3">
      <c r="A460" s="3" t="s">
        <v>986</v>
      </c>
      <c r="B460" s="2">
        <v>181</v>
      </c>
      <c r="C460" s="2">
        <v>11</v>
      </c>
      <c r="D460" s="2" t="s">
        <v>987</v>
      </c>
      <c r="E460" s="2">
        <v>1499</v>
      </c>
      <c r="F460" s="3" t="s">
        <v>73</v>
      </c>
      <c r="G460" s="3" t="s">
        <v>70</v>
      </c>
      <c r="H460" s="2">
        <v>17</v>
      </c>
      <c r="I460" s="10" t="str">
        <f>IFERROR(VLOOKUP($C460,Merchants!$A$2:$D$41,2,FALSE),"Merchant not found")</f>
        <v>Merchant_011</v>
      </c>
      <c r="J460" s="10" t="str">
        <f>IFERROR(VLOOKUP($C460,Merchants!$A$2:$D$41,3,FALSE),"Merchant not found")</f>
        <v>ecommerce</v>
      </c>
      <c r="K460" s="10" t="str">
        <f>IFERROR(VLOOKUP($C460,Merchants!$A$2:$D$41,4,FALSE),"Merchant not found")</f>
        <v>North</v>
      </c>
      <c r="L460" s="11" t="str">
        <f t="shared" si="7"/>
        <v>Standard</v>
      </c>
    </row>
    <row r="461" spans="1:12" x14ac:dyDescent="0.3">
      <c r="A461" s="5" t="s">
        <v>988</v>
      </c>
      <c r="B461" s="4">
        <v>95</v>
      </c>
      <c r="C461" s="4">
        <v>35</v>
      </c>
      <c r="D461" s="4" t="s">
        <v>989</v>
      </c>
      <c r="E461" s="4">
        <v>149</v>
      </c>
      <c r="F461" s="5" t="s">
        <v>69</v>
      </c>
      <c r="G461" s="5" t="s">
        <v>70</v>
      </c>
      <c r="H461" s="4">
        <v>82</v>
      </c>
      <c r="I461" s="12" t="str">
        <f>IFERROR(VLOOKUP($C461,Merchants!$A$2:$D$41,2,FALSE),"Merchant not found")</f>
        <v>Merchant_035</v>
      </c>
      <c r="J461" s="12" t="str">
        <f>IFERROR(VLOOKUP($C461,Merchants!$A$2:$D$41,3,FALSE),"Merchant not found")</f>
        <v>recharge</v>
      </c>
      <c r="K461" s="12" t="str">
        <f>IFERROR(VLOOKUP($C461,Merchants!$A$2:$D$41,4,FALSE),"Merchant not found")</f>
        <v>East</v>
      </c>
      <c r="L461" s="13" t="str">
        <f t="shared" si="7"/>
        <v>Standard</v>
      </c>
    </row>
    <row r="462" spans="1:12" x14ac:dyDescent="0.3">
      <c r="A462" s="3" t="s">
        <v>990</v>
      </c>
      <c r="B462" s="2">
        <v>39</v>
      </c>
      <c r="C462" s="2">
        <v>4</v>
      </c>
      <c r="D462" s="2" t="s">
        <v>991</v>
      </c>
      <c r="E462" s="2">
        <v>149</v>
      </c>
      <c r="F462" s="3" t="s">
        <v>78</v>
      </c>
      <c r="G462" s="3" t="s">
        <v>70</v>
      </c>
      <c r="H462" s="2">
        <v>97</v>
      </c>
      <c r="I462" s="10" t="str">
        <f>IFERROR(VLOOKUP($C462,Merchants!$A$2:$D$41,2,FALSE),"Merchant not found")</f>
        <v>Merchant_004</v>
      </c>
      <c r="J462" s="10" t="str">
        <f>IFERROR(VLOOKUP($C462,Merchants!$A$2:$D$41,3,FALSE),"Merchant not found")</f>
        <v>ecommerce</v>
      </c>
      <c r="K462" s="10" t="str">
        <f>IFERROR(VLOOKUP($C462,Merchants!$A$2:$D$41,4,FALSE),"Merchant not found")</f>
        <v>East</v>
      </c>
      <c r="L462" s="11" t="str">
        <f t="shared" si="7"/>
        <v>Standard</v>
      </c>
    </row>
    <row r="463" spans="1:12" x14ac:dyDescent="0.3">
      <c r="A463" s="5" t="s">
        <v>992</v>
      </c>
      <c r="B463" s="4">
        <v>323</v>
      </c>
      <c r="C463" s="4">
        <v>15</v>
      </c>
      <c r="D463" s="4" t="s">
        <v>993</v>
      </c>
      <c r="E463" s="4">
        <v>499</v>
      </c>
      <c r="F463" s="5" t="s">
        <v>73</v>
      </c>
      <c r="G463" s="5" t="s">
        <v>70</v>
      </c>
      <c r="H463" s="4">
        <v>8</v>
      </c>
      <c r="I463" s="12" t="str">
        <f>IFERROR(VLOOKUP($C463,Merchants!$A$2:$D$41,2,FALSE),"Merchant not found")</f>
        <v>Merchant_015</v>
      </c>
      <c r="J463" s="12" t="str">
        <f>IFERROR(VLOOKUP($C463,Merchants!$A$2:$D$41,3,FALSE),"Merchant not found")</f>
        <v>travel</v>
      </c>
      <c r="K463" s="12" t="str">
        <f>IFERROR(VLOOKUP($C463,Merchants!$A$2:$D$41,4,FALSE),"Merchant not found")</f>
        <v>North</v>
      </c>
      <c r="L463" s="13" t="str">
        <f t="shared" si="7"/>
        <v>Standard</v>
      </c>
    </row>
    <row r="464" spans="1:12" x14ac:dyDescent="0.3">
      <c r="A464" s="3" t="s">
        <v>994</v>
      </c>
      <c r="B464" s="2">
        <v>112</v>
      </c>
      <c r="C464" s="2">
        <v>33</v>
      </c>
      <c r="D464" s="2" t="s">
        <v>995</v>
      </c>
      <c r="E464" s="2">
        <v>49</v>
      </c>
      <c r="F464" s="3" t="s">
        <v>78</v>
      </c>
      <c r="G464" s="3" t="s">
        <v>70</v>
      </c>
      <c r="H464" s="2">
        <v>58</v>
      </c>
      <c r="I464" s="10" t="str">
        <f>IFERROR(VLOOKUP($C464,Merchants!$A$2:$D$41,2,FALSE),"Merchant not found")</f>
        <v>Merchant_033</v>
      </c>
      <c r="J464" s="10" t="str">
        <f>IFERROR(VLOOKUP($C464,Merchants!$A$2:$D$41,3,FALSE),"Merchant not found")</f>
        <v>bill_payment</v>
      </c>
      <c r="K464" s="10" t="str">
        <f>IFERROR(VLOOKUP($C464,Merchants!$A$2:$D$41,4,FALSE),"Merchant not found")</f>
        <v>East</v>
      </c>
      <c r="L464" s="11" t="str">
        <f t="shared" si="7"/>
        <v>Standard</v>
      </c>
    </row>
    <row r="465" spans="1:12" x14ac:dyDescent="0.3">
      <c r="A465" s="5" t="s">
        <v>996</v>
      </c>
      <c r="B465" s="4">
        <v>327</v>
      </c>
      <c r="C465" s="4">
        <v>40</v>
      </c>
      <c r="D465" s="4" t="s">
        <v>997</v>
      </c>
      <c r="E465" s="4">
        <v>99</v>
      </c>
      <c r="F465" s="5" t="s">
        <v>73</v>
      </c>
      <c r="G465" s="5" t="s">
        <v>70</v>
      </c>
      <c r="H465" s="4">
        <v>61</v>
      </c>
      <c r="I465" s="12" t="str">
        <f>IFERROR(VLOOKUP($C465,Merchants!$A$2:$D$41,2,FALSE),"Merchant not found")</f>
        <v>Merchant_040</v>
      </c>
      <c r="J465" s="12" t="str">
        <f>IFERROR(VLOOKUP($C465,Merchants!$A$2:$D$41,3,FALSE),"Merchant not found")</f>
        <v>entertainment</v>
      </c>
      <c r="K465" s="12" t="str">
        <f>IFERROR(VLOOKUP($C465,Merchants!$A$2:$D$41,4,FALSE),"Merchant not found")</f>
        <v>South</v>
      </c>
      <c r="L465" s="13" t="str">
        <f t="shared" si="7"/>
        <v>Standard</v>
      </c>
    </row>
    <row r="466" spans="1:12" x14ac:dyDescent="0.3">
      <c r="A466" s="3" t="s">
        <v>998</v>
      </c>
      <c r="B466" s="2">
        <v>4</v>
      </c>
      <c r="C466" s="2">
        <v>35</v>
      </c>
      <c r="D466" s="2" t="s">
        <v>999</v>
      </c>
      <c r="E466" s="2">
        <v>299</v>
      </c>
      <c r="F466" s="3" t="s">
        <v>73</v>
      </c>
      <c r="G466" s="3" t="s">
        <v>70</v>
      </c>
      <c r="H466" s="2">
        <v>70</v>
      </c>
      <c r="I466" s="10" t="str">
        <f>IFERROR(VLOOKUP($C466,Merchants!$A$2:$D$41,2,FALSE),"Merchant not found")</f>
        <v>Merchant_035</v>
      </c>
      <c r="J466" s="10" t="str">
        <f>IFERROR(VLOOKUP($C466,Merchants!$A$2:$D$41,3,FALSE),"Merchant not found")</f>
        <v>recharge</v>
      </c>
      <c r="K466" s="10" t="str">
        <f>IFERROR(VLOOKUP($C466,Merchants!$A$2:$D$41,4,FALSE),"Merchant not found")</f>
        <v>East</v>
      </c>
      <c r="L466" s="11" t="str">
        <f t="shared" si="7"/>
        <v>Standard</v>
      </c>
    </row>
    <row r="467" spans="1:12" x14ac:dyDescent="0.3">
      <c r="A467" s="5" t="s">
        <v>1000</v>
      </c>
      <c r="B467" s="4">
        <v>272</v>
      </c>
      <c r="C467" s="4">
        <v>18</v>
      </c>
      <c r="D467" s="4" t="s">
        <v>1001</v>
      </c>
      <c r="E467" s="4">
        <v>149</v>
      </c>
      <c r="F467" s="5" t="s">
        <v>73</v>
      </c>
      <c r="G467" s="5" t="s">
        <v>70</v>
      </c>
      <c r="H467" s="4">
        <v>68</v>
      </c>
      <c r="I467" s="12" t="str">
        <f>IFERROR(VLOOKUP($C467,Merchants!$A$2:$D$41,2,FALSE),"Merchant not found")</f>
        <v>Merchant_018</v>
      </c>
      <c r="J467" s="12" t="str">
        <f>IFERROR(VLOOKUP($C467,Merchants!$A$2:$D$41,3,FALSE),"Merchant not found")</f>
        <v>grocery</v>
      </c>
      <c r="K467" s="12" t="str">
        <f>IFERROR(VLOOKUP($C467,Merchants!$A$2:$D$41,4,FALSE),"Merchant not found")</f>
        <v>West</v>
      </c>
      <c r="L467" s="13" t="str">
        <f t="shared" si="7"/>
        <v>Standard</v>
      </c>
    </row>
    <row r="468" spans="1:12" x14ac:dyDescent="0.3">
      <c r="A468" s="3" t="s">
        <v>1002</v>
      </c>
      <c r="B468" s="2">
        <v>346</v>
      </c>
      <c r="C468" s="2">
        <v>28</v>
      </c>
      <c r="D468" s="2" t="s">
        <v>1003</v>
      </c>
      <c r="E468" s="2">
        <v>499</v>
      </c>
      <c r="F468" s="3" t="s">
        <v>73</v>
      </c>
      <c r="G468" s="3" t="s">
        <v>70</v>
      </c>
      <c r="H468" s="2">
        <v>22</v>
      </c>
      <c r="I468" s="10" t="str">
        <f>IFERROR(VLOOKUP($C468,Merchants!$A$2:$D$41,2,FALSE),"Merchant not found")</f>
        <v>Merchant_028</v>
      </c>
      <c r="J468" s="10" t="str">
        <f>IFERROR(VLOOKUP($C468,Merchants!$A$2:$D$41,3,FALSE),"Merchant not found")</f>
        <v>ecommerce</v>
      </c>
      <c r="K468" s="10" t="str">
        <f>IFERROR(VLOOKUP($C468,Merchants!$A$2:$D$41,4,FALSE),"Merchant not found")</f>
        <v>South</v>
      </c>
      <c r="L468" s="11" t="str">
        <f t="shared" si="7"/>
        <v>Standard</v>
      </c>
    </row>
    <row r="469" spans="1:12" x14ac:dyDescent="0.3">
      <c r="A469" s="5" t="s">
        <v>1004</v>
      </c>
      <c r="B469" s="4">
        <v>77</v>
      </c>
      <c r="C469" s="4">
        <v>16</v>
      </c>
      <c r="D469" s="4" t="s">
        <v>1005</v>
      </c>
      <c r="E469" s="4">
        <v>49</v>
      </c>
      <c r="F469" s="5" t="s">
        <v>69</v>
      </c>
      <c r="G469" s="5" t="s">
        <v>70</v>
      </c>
      <c r="H469" s="4">
        <v>24</v>
      </c>
      <c r="I469" s="12" t="str">
        <f>IFERROR(VLOOKUP($C469,Merchants!$A$2:$D$41,2,FALSE),"Merchant not found")</f>
        <v>Merchant_016</v>
      </c>
      <c r="J469" s="12" t="str">
        <f>IFERROR(VLOOKUP($C469,Merchants!$A$2:$D$41,3,FALSE),"Merchant not found")</f>
        <v>bill_payment</v>
      </c>
      <c r="K469" s="12" t="str">
        <f>IFERROR(VLOOKUP($C469,Merchants!$A$2:$D$41,4,FALSE),"Merchant not found")</f>
        <v>West</v>
      </c>
      <c r="L469" s="13" t="str">
        <f t="shared" si="7"/>
        <v>Standard</v>
      </c>
    </row>
    <row r="470" spans="1:12" x14ac:dyDescent="0.3">
      <c r="A470" s="3" t="s">
        <v>1006</v>
      </c>
      <c r="B470" s="2">
        <v>182</v>
      </c>
      <c r="C470" s="2">
        <v>18</v>
      </c>
      <c r="D470" s="2" t="s">
        <v>1007</v>
      </c>
      <c r="E470" s="2">
        <v>149</v>
      </c>
      <c r="F470" s="3" t="s">
        <v>95</v>
      </c>
      <c r="G470" s="3" t="s">
        <v>70</v>
      </c>
      <c r="H470" s="2">
        <v>50</v>
      </c>
      <c r="I470" s="10" t="str">
        <f>IFERROR(VLOOKUP($C470,Merchants!$A$2:$D$41,2,FALSE),"Merchant not found")</f>
        <v>Merchant_018</v>
      </c>
      <c r="J470" s="10" t="str">
        <f>IFERROR(VLOOKUP($C470,Merchants!$A$2:$D$41,3,FALSE),"Merchant not found")</f>
        <v>grocery</v>
      </c>
      <c r="K470" s="10" t="str">
        <f>IFERROR(VLOOKUP($C470,Merchants!$A$2:$D$41,4,FALSE),"Merchant not found")</f>
        <v>West</v>
      </c>
      <c r="L470" s="11" t="str">
        <f t="shared" si="7"/>
        <v>Standard</v>
      </c>
    </row>
    <row r="471" spans="1:12" x14ac:dyDescent="0.3">
      <c r="A471" s="5" t="s">
        <v>1008</v>
      </c>
      <c r="B471" s="4">
        <v>236</v>
      </c>
      <c r="C471" s="4">
        <v>37</v>
      </c>
      <c r="D471" s="4" t="s">
        <v>1009</v>
      </c>
      <c r="E471" s="4">
        <v>299</v>
      </c>
      <c r="F471" s="5" t="s">
        <v>95</v>
      </c>
      <c r="G471" s="5" t="s">
        <v>70</v>
      </c>
      <c r="H471" s="4">
        <v>31</v>
      </c>
      <c r="I471" s="12" t="str">
        <f>IFERROR(VLOOKUP($C471,Merchants!$A$2:$D$41,2,FALSE),"Merchant not found")</f>
        <v>Merchant_037</v>
      </c>
      <c r="J471" s="12" t="str">
        <f>IFERROR(VLOOKUP($C471,Merchants!$A$2:$D$41,3,FALSE),"Merchant not found")</f>
        <v>entertainment</v>
      </c>
      <c r="K471" s="12" t="str">
        <f>IFERROR(VLOOKUP($C471,Merchants!$A$2:$D$41,4,FALSE),"Merchant not found")</f>
        <v>South</v>
      </c>
      <c r="L471" s="13" t="str">
        <f t="shared" si="7"/>
        <v>Standard</v>
      </c>
    </row>
    <row r="472" spans="1:12" x14ac:dyDescent="0.3">
      <c r="A472" s="3" t="s">
        <v>1010</v>
      </c>
      <c r="B472" s="2">
        <v>42</v>
      </c>
      <c r="C472" s="2">
        <v>3</v>
      </c>
      <c r="D472" s="2" t="s">
        <v>227</v>
      </c>
      <c r="E472" s="2">
        <v>49</v>
      </c>
      <c r="F472" s="3" t="s">
        <v>73</v>
      </c>
      <c r="G472" s="3" t="s">
        <v>70</v>
      </c>
      <c r="H472" s="2">
        <v>11</v>
      </c>
      <c r="I472" s="10" t="str">
        <f>IFERROR(VLOOKUP($C472,Merchants!$A$2:$D$41,2,FALSE),"Merchant not found")</f>
        <v>Merchant_003</v>
      </c>
      <c r="J472" s="10" t="str">
        <f>IFERROR(VLOOKUP($C472,Merchants!$A$2:$D$41,3,FALSE),"Merchant not found")</f>
        <v>grocery</v>
      </c>
      <c r="K472" s="10" t="str">
        <f>IFERROR(VLOOKUP($C472,Merchants!$A$2:$D$41,4,FALSE),"Merchant not found")</f>
        <v>East</v>
      </c>
      <c r="L472" s="11" t="str">
        <f t="shared" si="7"/>
        <v>Standard</v>
      </c>
    </row>
    <row r="473" spans="1:12" x14ac:dyDescent="0.3">
      <c r="A473" s="5" t="s">
        <v>1011</v>
      </c>
      <c r="B473" s="4">
        <v>283</v>
      </c>
      <c r="C473" s="4">
        <v>31</v>
      </c>
      <c r="D473" s="4" t="s">
        <v>1012</v>
      </c>
      <c r="E473" s="4">
        <v>299</v>
      </c>
      <c r="F473" s="5" t="s">
        <v>78</v>
      </c>
      <c r="G473" s="5" t="s">
        <v>70</v>
      </c>
      <c r="H473" s="4">
        <v>7</v>
      </c>
      <c r="I473" s="12" t="str">
        <f>IFERROR(VLOOKUP($C473,Merchants!$A$2:$D$41,2,FALSE),"Merchant not found")</f>
        <v>Merchant_031</v>
      </c>
      <c r="J473" s="12" t="str">
        <f>IFERROR(VLOOKUP($C473,Merchants!$A$2:$D$41,3,FALSE),"Merchant not found")</f>
        <v>bill_payment</v>
      </c>
      <c r="K473" s="12" t="str">
        <f>IFERROR(VLOOKUP($C473,Merchants!$A$2:$D$41,4,FALSE),"Merchant not found")</f>
        <v>East</v>
      </c>
      <c r="L473" s="13" t="str">
        <f t="shared" si="7"/>
        <v>Standard</v>
      </c>
    </row>
    <row r="474" spans="1:12" x14ac:dyDescent="0.3">
      <c r="A474" s="3" t="s">
        <v>1013</v>
      </c>
      <c r="B474" s="2">
        <v>88</v>
      </c>
      <c r="C474" s="2">
        <v>6</v>
      </c>
      <c r="D474" s="2" t="s">
        <v>1014</v>
      </c>
      <c r="E474" s="2">
        <v>49</v>
      </c>
      <c r="F474" s="3" t="s">
        <v>73</v>
      </c>
      <c r="G474" s="3" t="s">
        <v>70</v>
      </c>
      <c r="H474" s="2">
        <v>63</v>
      </c>
      <c r="I474" s="10" t="str">
        <f>IFERROR(VLOOKUP($C474,Merchants!$A$2:$D$41,2,FALSE),"Merchant not found")</f>
        <v>Merchant_006</v>
      </c>
      <c r="J474" s="10" t="str">
        <f>IFERROR(VLOOKUP($C474,Merchants!$A$2:$D$41,3,FALSE),"Merchant not found")</f>
        <v>food_delivery</v>
      </c>
      <c r="K474" s="10" t="str">
        <f>IFERROR(VLOOKUP($C474,Merchants!$A$2:$D$41,4,FALSE),"Merchant not found")</f>
        <v>South</v>
      </c>
      <c r="L474" s="11" t="str">
        <f t="shared" si="7"/>
        <v>Standard</v>
      </c>
    </row>
    <row r="475" spans="1:12" x14ac:dyDescent="0.3">
      <c r="A475" s="5" t="s">
        <v>1015</v>
      </c>
      <c r="B475" s="4">
        <v>170</v>
      </c>
      <c r="C475" s="4">
        <v>37</v>
      </c>
      <c r="D475" s="4" t="s">
        <v>1016</v>
      </c>
      <c r="E475" s="4">
        <v>99</v>
      </c>
      <c r="F475" s="5" t="s">
        <v>73</v>
      </c>
      <c r="G475" s="5" t="s">
        <v>96</v>
      </c>
      <c r="H475" s="4">
        <v>12</v>
      </c>
      <c r="I475" s="12" t="str">
        <f>IFERROR(VLOOKUP($C475,Merchants!$A$2:$D$41,2,FALSE),"Merchant not found")</f>
        <v>Merchant_037</v>
      </c>
      <c r="J475" s="12" t="str">
        <f>IFERROR(VLOOKUP($C475,Merchants!$A$2:$D$41,3,FALSE),"Merchant not found")</f>
        <v>entertainment</v>
      </c>
      <c r="K475" s="12" t="str">
        <f>IFERROR(VLOOKUP($C475,Merchants!$A$2:$D$41,4,FALSE),"Merchant not found")</f>
        <v>South</v>
      </c>
      <c r="L475" s="13" t="str">
        <f t="shared" si="7"/>
        <v>Standard</v>
      </c>
    </row>
    <row r="476" spans="1:12" x14ac:dyDescent="0.3">
      <c r="A476" s="3" t="s">
        <v>1017</v>
      </c>
      <c r="B476" s="2">
        <v>22</v>
      </c>
      <c r="C476" s="2">
        <v>15</v>
      </c>
      <c r="D476" s="2" t="s">
        <v>1018</v>
      </c>
      <c r="E476" s="2">
        <v>49</v>
      </c>
      <c r="F476" s="3" t="s">
        <v>78</v>
      </c>
      <c r="G476" s="3" t="s">
        <v>70</v>
      </c>
      <c r="H476" s="2">
        <v>27</v>
      </c>
      <c r="I476" s="10" t="str">
        <f>IFERROR(VLOOKUP($C476,Merchants!$A$2:$D$41,2,FALSE),"Merchant not found")</f>
        <v>Merchant_015</v>
      </c>
      <c r="J476" s="10" t="str">
        <f>IFERROR(VLOOKUP($C476,Merchants!$A$2:$D$41,3,FALSE),"Merchant not found")</f>
        <v>travel</v>
      </c>
      <c r="K476" s="10" t="str">
        <f>IFERROR(VLOOKUP($C476,Merchants!$A$2:$D$41,4,FALSE),"Merchant not found")</f>
        <v>North</v>
      </c>
      <c r="L476" s="11" t="str">
        <f t="shared" si="7"/>
        <v>Standard</v>
      </c>
    </row>
    <row r="477" spans="1:12" x14ac:dyDescent="0.3">
      <c r="A477" s="5" t="s">
        <v>1019</v>
      </c>
      <c r="B477" s="4">
        <v>291</v>
      </c>
      <c r="C477" s="4">
        <v>31</v>
      </c>
      <c r="D477" s="4" t="s">
        <v>1020</v>
      </c>
      <c r="E477" s="4">
        <v>49</v>
      </c>
      <c r="F477" s="5" t="s">
        <v>78</v>
      </c>
      <c r="G477" s="5" t="s">
        <v>96</v>
      </c>
      <c r="H477" s="4">
        <v>34</v>
      </c>
      <c r="I477" s="12" t="str">
        <f>IFERROR(VLOOKUP($C477,Merchants!$A$2:$D$41,2,FALSE),"Merchant not found")</f>
        <v>Merchant_031</v>
      </c>
      <c r="J477" s="12" t="str">
        <f>IFERROR(VLOOKUP($C477,Merchants!$A$2:$D$41,3,FALSE),"Merchant not found")</f>
        <v>bill_payment</v>
      </c>
      <c r="K477" s="12" t="str">
        <f>IFERROR(VLOOKUP($C477,Merchants!$A$2:$D$41,4,FALSE),"Merchant not found")</f>
        <v>East</v>
      </c>
      <c r="L477" s="13" t="str">
        <f t="shared" si="7"/>
        <v>Standard</v>
      </c>
    </row>
    <row r="478" spans="1:12" x14ac:dyDescent="0.3">
      <c r="A478" s="3" t="s">
        <v>1021</v>
      </c>
      <c r="B478" s="2">
        <v>144</v>
      </c>
      <c r="C478" s="2">
        <v>35</v>
      </c>
      <c r="D478" s="2" t="s">
        <v>1022</v>
      </c>
      <c r="E478" s="2">
        <v>1499</v>
      </c>
      <c r="F478" s="3" t="s">
        <v>73</v>
      </c>
      <c r="G478" s="3" t="s">
        <v>70</v>
      </c>
      <c r="H478" s="2">
        <v>72</v>
      </c>
      <c r="I478" s="10" t="str">
        <f>IFERROR(VLOOKUP($C478,Merchants!$A$2:$D$41,2,FALSE),"Merchant not found")</f>
        <v>Merchant_035</v>
      </c>
      <c r="J478" s="10" t="str">
        <f>IFERROR(VLOOKUP($C478,Merchants!$A$2:$D$41,3,FALSE),"Merchant not found")</f>
        <v>recharge</v>
      </c>
      <c r="K478" s="10" t="str">
        <f>IFERROR(VLOOKUP($C478,Merchants!$A$2:$D$41,4,FALSE),"Merchant not found")</f>
        <v>East</v>
      </c>
      <c r="L478" s="11" t="str">
        <f t="shared" si="7"/>
        <v>Standard</v>
      </c>
    </row>
    <row r="479" spans="1:12" x14ac:dyDescent="0.3">
      <c r="A479" s="5" t="s">
        <v>1023</v>
      </c>
      <c r="B479" s="4">
        <v>162</v>
      </c>
      <c r="C479" s="4">
        <v>2</v>
      </c>
      <c r="D479" s="4" t="s">
        <v>1024</v>
      </c>
      <c r="E479" s="4">
        <v>299</v>
      </c>
      <c r="F479" s="5" t="s">
        <v>69</v>
      </c>
      <c r="G479" s="5" t="s">
        <v>70</v>
      </c>
      <c r="H479" s="4">
        <v>26</v>
      </c>
      <c r="I479" s="12" t="str">
        <f>IFERROR(VLOOKUP($C479,Merchants!$A$2:$D$41,2,FALSE),"Merchant not found")</f>
        <v>Merchant_002</v>
      </c>
      <c r="J479" s="12" t="str">
        <f>IFERROR(VLOOKUP($C479,Merchants!$A$2:$D$41,3,FALSE),"Merchant not found")</f>
        <v>grocery</v>
      </c>
      <c r="K479" s="12" t="str">
        <f>IFERROR(VLOOKUP($C479,Merchants!$A$2:$D$41,4,FALSE),"Merchant not found")</f>
        <v>West</v>
      </c>
      <c r="L479" s="13" t="str">
        <f t="shared" si="7"/>
        <v>Standard</v>
      </c>
    </row>
    <row r="480" spans="1:12" x14ac:dyDescent="0.3">
      <c r="A480" s="3" t="s">
        <v>1025</v>
      </c>
      <c r="B480" s="2">
        <v>204</v>
      </c>
      <c r="C480" s="2">
        <v>5</v>
      </c>
      <c r="D480" s="2" t="s">
        <v>1026</v>
      </c>
      <c r="E480" s="2">
        <v>49</v>
      </c>
      <c r="F480" s="3" t="s">
        <v>73</v>
      </c>
      <c r="G480" s="3" t="s">
        <v>70</v>
      </c>
      <c r="H480" s="2">
        <v>38</v>
      </c>
      <c r="I480" s="10" t="str">
        <f>IFERROR(VLOOKUP($C480,Merchants!$A$2:$D$41,2,FALSE),"Merchant not found")</f>
        <v>Merchant_005</v>
      </c>
      <c r="J480" s="10" t="str">
        <f>IFERROR(VLOOKUP($C480,Merchants!$A$2:$D$41,3,FALSE),"Merchant not found")</f>
        <v>recharge</v>
      </c>
      <c r="K480" s="10" t="str">
        <f>IFERROR(VLOOKUP($C480,Merchants!$A$2:$D$41,4,FALSE),"Merchant not found")</f>
        <v>South</v>
      </c>
      <c r="L480" s="11" t="str">
        <f t="shared" si="7"/>
        <v>Standard</v>
      </c>
    </row>
    <row r="481" spans="1:12" x14ac:dyDescent="0.3">
      <c r="A481" s="5" t="s">
        <v>1027</v>
      </c>
      <c r="B481" s="4">
        <v>291</v>
      </c>
      <c r="C481" s="4">
        <v>25</v>
      </c>
      <c r="D481" s="4" t="s">
        <v>1028</v>
      </c>
      <c r="E481" s="4">
        <v>99</v>
      </c>
      <c r="F481" s="5" t="s">
        <v>69</v>
      </c>
      <c r="G481" s="5" t="s">
        <v>70</v>
      </c>
      <c r="H481" s="4">
        <v>86</v>
      </c>
      <c r="I481" s="12" t="str">
        <f>IFERROR(VLOOKUP($C481,Merchants!$A$2:$D$41,2,FALSE),"Merchant not found")</f>
        <v>Merchant_025</v>
      </c>
      <c r="J481" s="12" t="str">
        <f>IFERROR(VLOOKUP($C481,Merchants!$A$2:$D$41,3,FALSE),"Merchant not found")</f>
        <v>travel</v>
      </c>
      <c r="K481" s="12" t="str">
        <f>IFERROR(VLOOKUP($C481,Merchants!$A$2:$D$41,4,FALSE),"Merchant not found")</f>
        <v>South</v>
      </c>
      <c r="L481" s="13" t="str">
        <f t="shared" si="7"/>
        <v>Standard</v>
      </c>
    </row>
    <row r="482" spans="1:12" x14ac:dyDescent="0.3">
      <c r="A482" s="3" t="s">
        <v>1029</v>
      </c>
      <c r="B482" s="2">
        <v>197</v>
      </c>
      <c r="C482" s="2">
        <v>9</v>
      </c>
      <c r="D482" s="2" t="s">
        <v>1030</v>
      </c>
      <c r="E482" s="2">
        <v>49</v>
      </c>
      <c r="F482" s="3" t="s">
        <v>69</v>
      </c>
      <c r="G482" s="3" t="s">
        <v>96</v>
      </c>
      <c r="H482" s="2">
        <v>88</v>
      </c>
      <c r="I482" s="10" t="str">
        <f>IFERROR(VLOOKUP($C482,Merchants!$A$2:$D$41,2,FALSE),"Merchant not found")</f>
        <v>Merchant_009</v>
      </c>
      <c r="J482" s="10" t="str">
        <f>IFERROR(VLOOKUP($C482,Merchants!$A$2:$D$41,3,FALSE),"Merchant not found")</f>
        <v>ecommerce</v>
      </c>
      <c r="K482" s="10" t="str">
        <f>IFERROR(VLOOKUP($C482,Merchants!$A$2:$D$41,4,FALSE),"Merchant not found")</f>
        <v>North</v>
      </c>
      <c r="L482" s="11" t="str">
        <f t="shared" si="7"/>
        <v>Standard</v>
      </c>
    </row>
    <row r="483" spans="1:12" x14ac:dyDescent="0.3">
      <c r="A483" s="5" t="s">
        <v>1031</v>
      </c>
      <c r="B483" s="4">
        <v>178</v>
      </c>
      <c r="C483" s="4">
        <v>4</v>
      </c>
      <c r="D483" s="4" t="s">
        <v>1032</v>
      </c>
      <c r="E483" s="4">
        <v>1499</v>
      </c>
      <c r="F483" s="5" t="s">
        <v>73</v>
      </c>
      <c r="G483" s="5" t="s">
        <v>70</v>
      </c>
      <c r="H483" s="4">
        <v>12</v>
      </c>
      <c r="I483" s="12" t="str">
        <f>IFERROR(VLOOKUP($C483,Merchants!$A$2:$D$41,2,FALSE),"Merchant not found")</f>
        <v>Merchant_004</v>
      </c>
      <c r="J483" s="12" t="str">
        <f>IFERROR(VLOOKUP($C483,Merchants!$A$2:$D$41,3,FALSE),"Merchant not found")</f>
        <v>ecommerce</v>
      </c>
      <c r="K483" s="12" t="str">
        <f>IFERROR(VLOOKUP($C483,Merchants!$A$2:$D$41,4,FALSE),"Merchant not found")</f>
        <v>East</v>
      </c>
      <c r="L483" s="13" t="str">
        <f t="shared" si="7"/>
        <v>Standard</v>
      </c>
    </row>
    <row r="484" spans="1:12" x14ac:dyDescent="0.3">
      <c r="A484" s="3" t="s">
        <v>1033</v>
      </c>
      <c r="B484" s="2">
        <v>39</v>
      </c>
      <c r="C484" s="2">
        <v>22</v>
      </c>
      <c r="D484" s="2" t="s">
        <v>1034</v>
      </c>
      <c r="E484" s="2">
        <v>799</v>
      </c>
      <c r="F484" s="3" t="s">
        <v>78</v>
      </c>
      <c r="G484" s="3" t="s">
        <v>70</v>
      </c>
      <c r="H484" s="2">
        <v>77</v>
      </c>
      <c r="I484" s="10" t="str">
        <f>IFERROR(VLOOKUP($C484,Merchants!$A$2:$D$41,2,FALSE),"Merchant not found")</f>
        <v>Merchant_022</v>
      </c>
      <c r="J484" s="10" t="str">
        <f>IFERROR(VLOOKUP($C484,Merchants!$A$2:$D$41,3,FALSE),"Merchant not found")</f>
        <v>travel</v>
      </c>
      <c r="K484" s="10" t="str">
        <f>IFERROR(VLOOKUP($C484,Merchants!$A$2:$D$41,4,FALSE),"Merchant not found")</f>
        <v>South</v>
      </c>
      <c r="L484" s="11" t="str">
        <f t="shared" si="7"/>
        <v>Standard</v>
      </c>
    </row>
    <row r="485" spans="1:12" x14ac:dyDescent="0.3">
      <c r="A485" s="5" t="s">
        <v>1035</v>
      </c>
      <c r="B485" s="4">
        <v>204</v>
      </c>
      <c r="C485" s="4">
        <v>21</v>
      </c>
      <c r="D485" s="4" t="s">
        <v>1036</v>
      </c>
      <c r="E485" s="4">
        <v>299</v>
      </c>
      <c r="F485" s="5" t="s">
        <v>69</v>
      </c>
      <c r="G485" s="5" t="s">
        <v>70</v>
      </c>
      <c r="H485" s="4">
        <v>3</v>
      </c>
      <c r="I485" s="12" t="str">
        <f>IFERROR(VLOOKUP($C485,Merchants!$A$2:$D$41,2,FALSE),"Merchant not found")</f>
        <v>Merchant_021</v>
      </c>
      <c r="J485" s="12" t="str">
        <f>IFERROR(VLOOKUP($C485,Merchants!$A$2:$D$41,3,FALSE),"Merchant not found")</f>
        <v>food_delivery</v>
      </c>
      <c r="K485" s="12" t="str">
        <f>IFERROR(VLOOKUP($C485,Merchants!$A$2:$D$41,4,FALSE),"Merchant not found")</f>
        <v>East</v>
      </c>
      <c r="L485" s="13" t="str">
        <f t="shared" si="7"/>
        <v>Standard</v>
      </c>
    </row>
    <row r="486" spans="1:12" x14ac:dyDescent="0.3">
      <c r="A486" s="3" t="s">
        <v>1037</v>
      </c>
      <c r="B486" s="2">
        <v>231</v>
      </c>
      <c r="C486" s="2">
        <v>32</v>
      </c>
      <c r="D486" s="2" t="s">
        <v>1038</v>
      </c>
      <c r="E486" s="2">
        <v>299</v>
      </c>
      <c r="F486" s="3" t="s">
        <v>73</v>
      </c>
      <c r="G486" s="3" t="s">
        <v>70</v>
      </c>
      <c r="H486" s="2">
        <v>29</v>
      </c>
      <c r="I486" s="10" t="str">
        <f>IFERROR(VLOOKUP($C486,Merchants!$A$2:$D$41,2,FALSE),"Merchant not found")</f>
        <v>Merchant_032</v>
      </c>
      <c r="J486" s="10" t="str">
        <f>IFERROR(VLOOKUP($C486,Merchants!$A$2:$D$41,3,FALSE),"Merchant not found")</f>
        <v>food_delivery</v>
      </c>
      <c r="K486" s="10" t="str">
        <f>IFERROR(VLOOKUP($C486,Merchants!$A$2:$D$41,4,FALSE),"Merchant not found")</f>
        <v>West</v>
      </c>
      <c r="L486" s="11" t="str">
        <f t="shared" si="7"/>
        <v>Standard</v>
      </c>
    </row>
    <row r="487" spans="1:12" x14ac:dyDescent="0.3">
      <c r="A487" s="5" t="s">
        <v>1039</v>
      </c>
      <c r="B487" s="4">
        <v>222</v>
      </c>
      <c r="C487" s="4">
        <v>12</v>
      </c>
      <c r="D487" s="4" t="s">
        <v>1040</v>
      </c>
      <c r="E487" s="4">
        <v>499</v>
      </c>
      <c r="F487" s="5" t="s">
        <v>69</v>
      </c>
      <c r="G487" s="5" t="s">
        <v>96</v>
      </c>
      <c r="H487" s="4">
        <v>87</v>
      </c>
      <c r="I487" s="12" t="str">
        <f>IFERROR(VLOOKUP($C487,Merchants!$A$2:$D$41,2,FALSE),"Merchant not found")</f>
        <v>Merchant_012</v>
      </c>
      <c r="J487" s="12" t="str">
        <f>IFERROR(VLOOKUP($C487,Merchants!$A$2:$D$41,3,FALSE),"Merchant not found")</f>
        <v>ecommerce</v>
      </c>
      <c r="K487" s="12" t="str">
        <f>IFERROR(VLOOKUP($C487,Merchants!$A$2:$D$41,4,FALSE),"Merchant not found")</f>
        <v>East</v>
      </c>
      <c r="L487" s="13" t="str">
        <f t="shared" si="7"/>
        <v>Standard</v>
      </c>
    </row>
    <row r="488" spans="1:12" x14ac:dyDescent="0.3">
      <c r="A488" s="3" t="s">
        <v>1041</v>
      </c>
      <c r="B488" s="2">
        <v>44</v>
      </c>
      <c r="C488" s="2">
        <v>40</v>
      </c>
      <c r="D488" s="2" t="s">
        <v>1042</v>
      </c>
      <c r="E488" s="2">
        <v>499</v>
      </c>
      <c r="F488" s="3" t="s">
        <v>73</v>
      </c>
      <c r="G488" s="3" t="s">
        <v>70</v>
      </c>
      <c r="H488" s="2">
        <v>37</v>
      </c>
      <c r="I488" s="10" t="str">
        <f>IFERROR(VLOOKUP($C488,Merchants!$A$2:$D$41,2,FALSE),"Merchant not found")</f>
        <v>Merchant_040</v>
      </c>
      <c r="J488" s="10" t="str">
        <f>IFERROR(VLOOKUP($C488,Merchants!$A$2:$D$41,3,FALSE),"Merchant not found")</f>
        <v>entertainment</v>
      </c>
      <c r="K488" s="10" t="str">
        <f>IFERROR(VLOOKUP($C488,Merchants!$A$2:$D$41,4,FALSE),"Merchant not found")</f>
        <v>South</v>
      </c>
      <c r="L488" s="11" t="str">
        <f t="shared" si="7"/>
        <v>Standard</v>
      </c>
    </row>
    <row r="489" spans="1:12" x14ac:dyDescent="0.3">
      <c r="A489" s="5" t="s">
        <v>1043</v>
      </c>
      <c r="B489" s="4">
        <v>38</v>
      </c>
      <c r="C489" s="4">
        <v>6</v>
      </c>
      <c r="D489" s="4" t="s">
        <v>1044</v>
      </c>
      <c r="E489" s="4">
        <v>49</v>
      </c>
      <c r="F489" s="5" t="s">
        <v>69</v>
      </c>
      <c r="G489" s="5" t="s">
        <v>70</v>
      </c>
      <c r="H489" s="4">
        <v>34</v>
      </c>
      <c r="I489" s="12" t="str">
        <f>IFERROR(VLOOKUP($C489,Merchants!$A$2:$D$41,2,FALSE),"Merchant not found")</f>
        <v>Merchant_006</v>
      </c>
      <c r="J489" s="12" t="str">
        <f>IFERROR(VLOOKUP($C489,Merchants!$A$2:$D$41,3,FALSE),"Merchant not found")</f>
        <v>food_delivery</v>
      </c>
      <c r="K489" s="12" t="str">
        <f>IFERROR(VLOOKUP($C489,Merchants!$A$2:$D$41,4,FALSE),"Merchant not found")</f>
        <v>South</v>
      </c>
      <c r="L489" s="13" t="str">
        <f t="shared" si="7"/>
        <v>Standard</v>
      </c>
    </row>
    <row r="490" spans="1:12" x14ac:dyDescent="0.3">
      <c r="A490" s="3" t="s">
        <v>1045</v>
      </c>
      <c r="B490" s="2">
        <v>325</v>
      </c>
      <c r="C490" s="2">
        <v>10</v>
      </c>
      <c r="D490" s="2" t="s">
        <v>1046</v>
      </c>
      <c r="E490" s="2">
        <v>49</v>
      </c>
      <c r="F490" s="3" t="s">
        <v>78</v>
      </c>
      <c r="G490" s="3" t="s">
        <v>121</v>
      </c>
      <c r="H490" s="2">
        <v>94</v>
      </c>
      <c r="I490" s="10" t="str">
        <f>IFERROR(VLOOKUP($C490,Merchants!$A$2:$D$41,2,FALSE),"Merchant not found")</f>
        <v>Merchant_010</v>
      </c>
      <c r="J490" s="10" t="str">
        <f>IFERROR(VLOOKUP($C490,Merchants!$A$2:$D$41,3,FALSE),"Merchant not found")</f>
        <v>grocery</v>
      </c>
      <c r="K490" s="10" t="str">
        <f>IFERROR(VLOOKUP($C490,Merchants!$A$2:$D$41,4,FALSE),"Merchant not found")</f>
        <v>West</v>
      </c>
      <c r="L490" s="11" t="str">
        <f t="shared" si="7"/>
        <v>Standard</v>
      </c>
    </row>
    <row r="491" spans="1:12" x14ac:dyDescent="0.3">
      <c r="A491" s="5" t="s">
        <v>1047</v>
      </c>
      <c r="B491" s="4">
        <v>55</v>
      </c>
      <c r="C491" s="4">
        <v>6</v>
      </c>
      <c r="D491" s="4" t="s">
        <v>1048</v>
      </c>
      <c r="E491" s="4">
        <v>1499</v>
      </c>
      <c r="F491" s="5" t="s">
        <v>95</v>
      </c>
      <c r="G491" s="5" t="s">
        <v>70</v>
      </c>
      <c r="H491" s="4">
        <v>0</v>
      </c>
      <c r="I491" s="12" t="str">
        <f>IFERROR(VLOOKUP($C491,Merchants!$A$2:$D$41,2,FALSE),"Merchant not found")</f>
        <v>Merchant_006</v>
      </c>
      <c r="J491" s="12" t="str">
        <f>IFERROR(VLOOKUP($C491,Merchants!$A$2:$D$41,3,FALSE),"Merchant not found")</f>
        <v>food_delivery</v>
      </c>
      <c r="K491" s="12" t="str">
        <f>IFERROR(VLOOKUP($C491,Merchants!$A$2:$D$41,4,FALSE),"Merchant not found")</f>
        <v>South</v>
      </c>
      <c r="L491" s="13" t="str">
        <f t="shared" si="7"/>
        <v>Standard</v>
      </c>
    </row>
    <row r="492" spans="1:12" x14ac:dyDescent="0.3">
      <c r="A492" s="3" t="s">
        <v>1049</v>
      </c>
      <c r="B492" s="2">
        <v>139</v>
      </c>
      <c r="C492" s="2">
        <v>7</v>
      </c>
      <c r="D492" s="2" t="s">
        <v>1050</v>
      </c>
      <c r="E492" s="2">
        <v>499</v>
      </c>
      <c r="F492" s="3" t="s">
        <v>95</v>
      </c>
      <c r="G492" s="3" t="s">
        <v>70</v>
      </c>
      <c r="H492" s="2">
        <v>16</v>
      </c>
      <c r="I492" s="10" t="str">
        <f>IFERROR(VLOOKUP($C492,Merchants!$A$2:$D$41,2,FALSE),"Merchant not found")</f>
        <v>Merchant_007</v>
      </c>
      <c r="J492" s="10" t="str">
        <f>IFERROR(VLOOKUP($C492,Merchants!$A$2:$D$41,3,FALSE),"Merchant not found")</f>
        <v>food_delivery</v>
      </c>
      <c r="K492" s="10" t="str">
        <f>IFERROR(VLOOKUP($C492,Merchants!$A$2:$D$41,4,FALSE),"Merchant not found")</f>
        <v>East</v>
      </c>
      <c r="L492" s="11" t="str">
        <f t="shared" si="7"/>
        <v>Standard</v>
      </c>
    </row>
    <row r="493" spans="1:12" x14ac:dyDescent="0.3">
      <c r="A493" s="5" t="s">
        <v>1051</v>
      </c>
      <c r="B493" s="4">
        <v>230</v>
      </c>
      <c r="C493" s="4">
        <v>36</v>
      </c>
      <c r="D493" s="4" t="s">
        <v>1052</v>
      </c>
      <c r="E493" s="4">
        <v>99</v>
      </c>
      <c r="F493" s="5" t="s">
        <v>69</v>
      </c>
      <c r="G493" s="5" t="s">
        <v>70</v>
      </c>
      <c r="H493" s="4">
        <v>71</v>
      </c>
      <c r="I493" s="12" t="str">
        <f>IFERROR(VLOOKUP($C493,Merchants!$A$2:$D$41,2,FALSE),"Merchant not found")</f>
        <v>Merchant_036</v>
      </c>
      <c r="J493" s="12" t="str">
        <f>IFERROR(VLOOKUP($C493,Merchants!$A$2:$D$41,3,FALSE),"Merchant not found")</f>
        <v>entertainment</v>
      </c>
      <c r="K493" s="12" t="str">
        <f>IFERROR(VLOOKUP($C493,Merchants!$A$2:$D$41,4,FALSE),"Merchant not found")</f>
        <v>East</v>
      </c>
      <c r="L493" s="13" t="str">
        <f t="shared" si="7"/>
        <v>Standard</v>
      </c>
    </row>
    <row r="494" spans="1:12" x14ac:dyDescent="0.3">
      <c r="A494" s="3" t="s">
        <v>1053</v>
      </c>
      <c r="B494" s="2">
        <v>14</v>
      </c>
      <c r="C494" s="2">
        <v>6</v>
      </c>
      <c r="D494" s="2" t="s">
        <v>1054</v>
      </c>
      <c r="E494" s="2">
        <v>799</v>
      </c>
      <c r="F494" s="3" t="s">
        <v>95</v>
      </c>
      <c r="G494" s="3" t="s">
        <v>70</v>
      </c>
      <c r="H494" s="2">
        <v>45</v>
      </c>
      <c r="I494" s="10" t="str">
        <f>IFERROR(VLOOKUP($C494,Merchants!$A$2:$D$41,2,FALSE),"Merchant not found")</f>
        <v>Merchant_006</v>
      </c>
      <c r="J494" s="10" t="str">
        <f>IFERROR(VLOOKUP($C494,Merchants!$A$2:$D$41,3,FALSE),"Merchant not found")</f>
        <v>food_delivery</v>
      </c>
      <c r="K494" s="10" t="str">
        <f>IFERROR(VLOOKUP($C494,Merchants!$A$2:$D$41,4,FALSE),"Merchant not found")</f>
        <v>South</v>
      </c>
      <c r="L494" s="11" t="str">
        <f t="shared" si="7"/>
        <v>Standard</v>
      </c>
    </row>
    <row r="495" spans="1:12" x14ac:dyDescent="0.3">
      <c r="A495" s="5" t="s">
        <v>1055</v>
      </c>
      <c r="B495" s="4">
        <v>307</v>
      </c>
      <c r="C495" s="4">
        <v>21</v>
      </c>
      <c r="D495" s="4" t="s">
        <v>1056</v>
      </c>
      <c r="E495" s="4">
        <v>799</v>
      </c>
      <c r="F495" s="5" t="s">
        <v>73</v>
      </c>
      <c r="G495" s="5" t="s">
        <v>70</v>
      </c>
      <c r="H495" s="4">
        <v>49</v>
      </c>
      <c r="I495" s="12" t="str">
        <f>IFERROR(VLOOKUP($C495,Merchants!$A$2:$D$41,2,FALSE),"Merchant not found")</f>
        <v>Merchant_021</v>
      </c>
      <c r="J495" s="12" t="str">
        <f>IFERROR(VLOOKUP($C495,Merchants!$A$2:$D$41,3,FALSE),"Merchant not found")</f>
        <v>food_delivery</v>
      </c>
      <c r="K495" s="12" t="str">
        <f>IFERROR(VLOOKUP($C495,Merchants!$A$2:$D$41,4,FALSE),"Merchant not found")</f>
        <v>East</v>
      </c>
      <c r="L495" s="13" t="str">
        <f t="shared" si="7"/>
        <v>Standard</v>
      </c>
    </row>
    <row r="496" spans="1:12" x14ac:dyDescent="0.3">
      <c r="A496" s="3" t="s">
        <v>1057</v>
      </c>
      <c r="B496" s="2">
        <v>199</v>
      </c>
      <c r="C496" s="2">
        <v>6</v>
      </c>
      <c r="D496" s="2" t="s">
        <v>1058</v>
      </c>
      <c r="E496" s="2">
        <v>49</v>
      </c>
      <c r="F496" s="3" t="s">
        <v>73</v>
      </c>
      <c r="G496" s="3" t="s">
        <v>70</v>
      </c>
      <c r="H496" s="2">
        <v>92</v>
      </c>
      <c r="I496" s="10" t="str">
        <f>IFERROR(VLOOKUP($C496,Merchants!$A$2:$D$41,2,FALSE),"Merchant not found")</f>
        <v>Merchant_006</v>
      </c>
      <c r="J496" s="10" t="str">
        <f>IFERROR(VLOOKUP($C496,Merchants!$A$2:$D$41,3,FALSE),"Merchant not found")</f>
        <v>food_delivery</v>
      </c>
      <c r="K496" s="10" t="str">
        <f>IFERROR(VLOOKUP($C496,Merchants!$A$2:$D$41,4,FALSE),"Merchant not found")</f>
        <v>South</v>
      </c>
      <c r="L496" s="11" t="str">
        <f t="shared" si="7"/>
        <v>Standard</v>
      </c>
    </row>
    <row r="497" spans="1:12" x14ac:dyDescent="0.3">
      <c r="A497" s="5" t="s">
        <v>1059</v>
      </c>
      <c r="B497" s="4">
        <v>125</v>
      </c>
      <c r="C497" s="4">
        <v>37</v>
      </c>
      <c r="D497" s="4" t="s">
        <v>1060</v>
      </c>
      <c r="E497" s="4">
        <v>149</v>
      </c>
      <c r="F497" s="5" t="s">
        <v>69</v>
      </c>
      <c r="G497" s="5" t="s">
        <v>70</v>
      </c>
      <c r="H497" s="4">
        <v>66</v>
      </c>
      <c r="I497" s="12" t="str">
        <f>IFERROR(VLOOKUP($C497,Merchants!$A$2:$D$41,2,FALSE),"Merchant not found")</f>
        <v>Merchant_037</v>
      </c>
      <c r="J497" s="12" t="str">
        <f>IFERROR(VLOOKUP($C497,Merchants!$A$2:$D$41,3,FALSE),"Merchant not found")</f>
        <v>entertainment</v>
      </c>
      <c r="K497" s="12" t="str">
        <f>IFERROR(VLOOKUP($C497,Merchants!$A$2:$D$41,4,FALSE),"Merchant not found")</f>
        <v>South</v>
      </c>
      <c r="L497" s="13" t="str">
        <f t="shared" si="7"/>
        <v>Standard</v>
      </c>
    </row>
    <row r="498" spans="1:12" x14ac:dyDescent="0.3">
      <c r="A498" s="3" t="s">
        <v>1061</v>
      </c>
      <c r="B498" s="2">
        <v>87</v>
      </c>
      <c r="C498" s="2">
        <v>9</v>
      </c>
      <c r="D498" s="2" t="s">
        <v>1062</v>
      </c>
      <c r="E498" s="2">
        <v>149</v>
      </c>
      <c r="F498" s="3" t="s">
        <v>73</v>
      </c>
      <c r="G498" s="3" t="s">
        <v>70</v>
      </c>
      <c r="H498" s="2">
        <v>34</v>
      </c>
      <c r="I498" s="10" t="str">
        <f>IFERROR(VLOOKUP($C498,Merchants!$A$2:$D$41,2,FALSE),"Merchant not found")</f>
        <v>Merchant_009</v>
      </c>
      <c r="J498" s="10" t="str">
        <f>IFERROR(VLOOKUP($C498,Merchants!$A$2:$D$41,3,FALSE),"Merchant not found")</f>
        <v>ecommerce</v>
      </c>
      <c r="K498" s="10" t="str">
        <f>IFERROR(VLOOKUP($C498,Merchants!$A$2:$D$41,4,FALSE),"Merchant not found")</f>
        <v>North</v>
      </c>
      <c r="L498" s="11" t="str">
        <f t="shared" si="7"/>
        <v>Standard</v>
      </c>
    </row>
    <row r="499" spans="1:12" x14ac:dyDescent="0.3">
      <c r="A499" s="5" t="s">
        <v>1063</v>
      </c>
      <c r="B499" s="4">
        <v>75</v>
      </c>
      <c r="C499" s="4">
        <v>5</v>
      </c>
      <c r="D499" s="4" t="s">
        <v>1064</v>
      </c>
      <c r="E499" s="4">
        <v>99</v>
      </c>
      <c r="F499" s="5" t="s">
        <v>73</v>
      </c>
      <c r="G499" s="5" t="s">
        <v>70</v>
      </c>
      <c r="H499" s="4">
        <v>21</v>
      </c>
      <c r="I499" s="12" t="str">
        <f>IFERROR(VLOOKUP($C499,Merchants!$A$2:$D$41,2,FALSE),"Merchant not found")</f>
        <v>Merchant_005</v>
      </c>
      <c r="J499" s="12" t="str">
        <f>IFERROR(VLOOKUP($C499,Merchants!$A$2:$D$41,3,FALSE),"Merchant not found")</f>
        <v>recharge</v>
      </c>
      <c r="K499" s="12" t="str">
        <f>IFERROR(VLOOKUP($C499,Merchants!$A$2:$D$41,4,FALSE),"Merchant not found")</f>
        <v>South</v>
      </c>
      <c r="L499" s="13" t="str">
        <f t="shared" si="7"/>
        <v>Standard</v>
      </c>
    </row>
    <row r="500" spans="1:12" x14ac:dyDescent="0.3">
      <c r="A500" s="3" t="s">
        <v>1065</v>
      </c>
      <c r="B500" s="2">
        <v>154</v>
      </c>
      <c r="C500" s="2">
        <v>31</v>
      </c>
      <c r="D500" s="2" t="s">
        <v>1066</v>
      </c>
      <c r="E500" s="2">
        <v>499</v>
      </c>
      <c r="F500" s="3" t="s">
        <v>69</v>
      </c>
      <c r="G500" s="3" t="s">
        <v>70</v>
      </c>
      <c r="H500" s="2">
        <v>100</v>
      </c>
      <c r="I500" s="10" t="str">
        <f>IFERROR(VLOOKUP($C500,Merchants!$A$2:$D$41,2,FALSE),"Merchant not found")</f>
        <v>Merchant_031</v>
      </c>
      <c r="J500" s="10" t="str">
        <f>IFERROR(VLOOKUP($C500,Merchants!$A$2:$D$41,3,FALSE),"Merchant not found")</f>
        <v>bill_payment</v>
      </c>
      <c r="K500" s="10" t="str">
        <f>IFERROR(VLOOKUP($C500,Merchants!$A$2:$D$41,4,FALSE),"Merchant not found")</f>
        <v>East</v>
      </c>
      <c r="L500" s="11" t="str">
        <f t="shared" si="7"/>
        <v>Standard</v>
      </c>
    </row>
    <row r="501" spans="1:12" x14ac:dyDescent="0.3">
      <c r="A501" s="5" t="s">
        <v>1067</v>
      </c>
      <c r="B501" s="4">
        <v>127</v>
      </c>
      <c r="C501" s="4">
        <v>32</v>
      </c>
      <c r="D501" s="4" t="s">
        <v>1068</v>
      </c>
      <c r="E501" s="4">
        <v>149</v>
      </c>
      <c r="F501" s="5" t="s">
        <v>95</v>
      </c>
      <c r="G501" s="5" t="s">
        <v>70</v>
      </c>
      <c r="H501" s="4">
        <v>76</v>
      </c>
      <c r="I501" s="12" t="str">
        <f>IFERROR(VLOOKUP($C501,Merchants!$A$2:$D$41,2,FALSE),"Merchant not found")</f>
        <v>Merchant_032</v>
      </c>
      <c r="J501" s="12" t="str">
        <f>IFERROR(VLOOKUP($C501,Merchants!$A$2:$D$41,3,FALSE),"Merchant not found")</f>
        <v>food_delivery</v>
      </c>
      <c r="K501" s="12" t="str">
        <f>IFERROR(VLOOKUP($C501,Merchants!$A$2:$D$41,4,FALSE),"Merchant not found")</f>
        <v>West</v>
      </c>
      <c r="L501" s="13" t="str">
        <f t="shared" si="7"/>
        <v>Standard</v>
      </c>
    </row>
    <row r="502" spans="1:12" x14ac:dyDescent="0.3">
      <c r="A502" s="3" t="s">
        <v>1069</v>
      </c>
      <c r="B502" s="2">
        <v>351</v>
      </c>
      <c r="C502" s="2">
        <v>7</v>
      </c>
      <c r="D502" s="2" t="s">
        <v>1070</v>
      </c>
      <c r="E502" s="2">
        <v>1999</v>
      </c>
      <c r="F502" s="3" t="s">
        <v>95</v>
      </c>
      <c r="G502" s="3" t="s">
        <v>121</v>
      </c>
      <c r="H502" s="2">
        <v>79</v>
      </c>
      <c r="I502" s="10" t="str">
        <f>IFERROR(VLOOKUP($C502,Merchants!$A$2:$D$41,2,FALSE),"Merchant not found")</f>
        <v>Merchant_007</v>
      </c>
      <c r="J502" s="10" t="str">
        <f>IFERROR(VLOOKUP($C502,Merchants!$A$2:$D$41,3,FALSE),"Merchant not found")</f>
        <v>food_delivery</v>
      </c>
      <c r="K502" s="10" t="str">
        <f>IFERROR(VLOOKUP($C502,Merchants!$A$2:$D$41,4,FALSE),"Merchant not found")</f>
        <v>East</v>
      </c>
      <c r="L502" s="11" t="str">
        <f t="shared" si="7"/>
        <v>Standard</v>
      </c>
    </row>
    <row r="503" spans="1:12" x14ac:dyDescent="0.3">
      <c r="A503" s="5" t="s">
        <v>1071</v>
      </c>
      <c r="B503" s="4">
        <v>352</v>
      </c>
      <c r="C503" s="4">
        <v>40</v>
      </c>
      <c r="D503" s="4" t="s">
        <v>1072</v>
      </c>
      <c r="E503" s="4">
        <v>4999</v>
      </c>
      <c r="F503" s="5" t="s">
        <v>95</v>
      </c>
      <c r="G503" s="5" t="s">
        <v>121</v>
      </c>
      <c r="H503" s="4">
        <v>95</v>
      </c>
      <c r="I503" s="12" t="str">
        <f>IFERROR(VLOOKUP($C503,Merchants!$A$2:$D$41,2,FALSE),"Merchant not found")</f>
        <v>Merchant_040</v>
      </c>
      <c r="J503" s="12" t="str">
        <f>IFERROR(VLOOKUP($C503,Merchants!$A$2:$D$41,3,FALSE),"Merchant not found")</f>
        <v>entertainment</v>
      </c>
      <c r="K503" s="12" t="str">
        <f>IFERROR(VLOOKUP($C503,Merchants!$A$2:$D$41,4,FALSE),"Merchant not found")</f>
        <v>South</v>
      </c>
      <c r="L503" s="13" t="str">
        <f t="shared" si="7"/>
        <v>Standard</v>
      </c>
    </row>
    <row r="504" spans="1:12" x14ac:dyDescent="0.3">
      <c r="A504" s="3" t="s">
        <v>1073</v>
      </c>
      <c r="B504" s="2">
        <v>353</v>
      </c>
      <c r="C504" s="2">
        <v>28</v>
      </c>
      <c r="D504" s="2" t="s">
        <v>1074</v>
      </c>
      <c r="E504" s="2">
        <v>1999</v>
      </c>
      <c r="F504" s="3" t="s">
        <v>95</v>
      </c>
      <c r="G504" s="3" t="s">
        <v>121</v>
      </c>
      <c r="H504" s="2">
        <v>79</v>
      </c>
      <c r="I504" s="10" t="str">
        <f>IFERROR(VLOOKUP($C504,Merchants!$A$2:$D$41,2,FALSE),"Merchant not found")</f>
        <v>Merchant_028</v>
      </c>
      <c r="J504" s="10" t="str">
        <f>IFERROR(VLOOKUP($C504,Merchants!$A$2:$D$41,3,FALSE),"Merchant not found")</f>
        <v>ecommerce</v>
      </c>
      <c r="K504" s="10" t="str">
        <f>IFERROR(VLOOKUP($C504,Merchants!$A$2:$D$41,4,FALSE),"Merchant not found")</f>
        <v>South</v>
      </c>
      <c r="L504" s="11" t="str">
        <f t="shared" si="7"/>
        <v>Standard</v>
      </c>
    </row>
    <row r="505" spans="1:12" x14ac:dyDescent="0.3">
      <c r="A505" s="5" t="s">
        <v>1075</v>
      </c>
      <c r="B505" s="4">
        <v>354</v>
      </c>
      <c r="C505" s="4">
        <v>13</v>
      </c>
      <c r="D505" s="4" t="s">
        <v>1076</v>
      </c>
      <c r="E505" s="4">
        <v>4999</v>
      </c>
      <c r="F505" s="5" t="s">
        <v>95</v>
      </c>
      <c r="G505" s="5" t="s">
        <v>121</v>
      </c>
      <c r="H505" s="4">
        <v>80</v>
      </c>
      <c r="I505" s="12" t="str">
        <f>IFERROR(VLOOKUP($C505,Merchants!$A$2:$D$41,2,FALSE),"Merchant not found")</f>
        <v>Merchant_013</v>
      </c>
      <c r="J505" s="12" t="str">
        <f>IFERROR(VLOOKUP($C505,Merchants!$A$2:$D$41,3,FALSE),"Merchant not found")</f>
        <v>travel</v>
      </c>
      <c r="K505" s="12" t="str">
        <f>IFERROR(VLOOKUP($C505,Merchants!$A$2:$D$41,4,FALSE),"Merchant not found")</f>
        <v>East</v>
      </c>
      <c r="L505" s="13" t="str">
        <f t="shared" si="7"/>
        <v>Standard</v>
      </c>
    </row>
    <row r="506" spans="1:12" x14ac:dyDescent="0.3">
      <c r="A506" s="3" t="s">
        <v>1077</v>
      </c>
      <c r="B506" s="2">
        <v>355</v>
      </c>
      <c r="C506" s="2">
        <v>19</v>
      </c>
      <c r="D506" s="2" t="s">
        <v>1078</v>
      </c>
      <c r="E506" s="2">
        <v>4999</v>
      </c>
      <c r="F506" s="3" t="s">
        <v>95</v>
      </c>
      <c r="G506" s="3" t="s">
        <v>121</v>
      </c>
      <c r="H506" s="2">
        <v>100</v>
      </c>
      <c r="I506" s="10" t="str">
        <f>IFERROR(VLOOKUP($C506,Merchants!$A$2:$D$41,2,FALSE),"Merchant not found")</f>
        <v>Merchant_019</v>
      </c>
      <c r="J506" s="10" t="str">
        <f>IFERROR(VLOOKUP($C506,Merchants!$A$2:$D$41,3,FALSE),"Merchant not found")</f>
        <v>grocery</v>
      </c>
      <c r="K506" s="10" t="str">
        <f>IFERROR(VLOOKUP($C506,Merchants!$A$2:$D$41,4,FALSE),"Merchant not found")</f>
        <v>North</v>
      </c>
      <c r="L506" s="11" t="str">
        <f t="shared" si="7"/>
        <v>Standard</v>
      </c>
    </row>
    <row r="507" spans="1:12" x14ac:dyDescent="0.3">
      <c r="A507" s="5" t="s">
        <v>1079</v>
      </c>
      <c r="B507" s="4">
        <v>356</v>
      </c>
      <c r="C507" s="4">
        <v>25</v>
      </c>
      <c r="D507" s="4" t="s">
        <v>1080</v>
      </c>
      <c r="E507" s="4">
        <v>2999</v>
      </c>
      <c r="F507" s="5" t="s">
        <v>95</v>
      </c>
      <c r="G507" s="5" t="s">
        <v>121</v>
      </c>
      <c r="H507" s="4">
        <v>96</v>
      </c>
      <c r="I507" s="12" t="str">
        <f>IFERROR(VLOOKUP($C507,Merchants!$A$2:$D$41,2,FALSE),"Merchant not found")</f>
        <v>Merchant_025</v>
      </c>
      <c r="J507" s="12" t="str">
        <f>IFERROR(VLOOKUP($C507,Merchants!$A$2:$D$41,3,FALSE),"Merchant not found")</f>
        <v>travel</v>
      </c>
      <c r="K507" s="12" t="str">
        <f>IFERROR(VLOOKUP($C507,Merchants!$A$2:$D$41,4,FALSE),"Merchant not found")</f>
        <v>South</v>
      </c>
      <c r="L507" s="13" t="str">
        <f t="shared" si="7"/>
        <v>Standard</v>
      </c>
    </row>
    <row r="508" spans="1:12" x14ac:dyDescent="0.3">
      <c r="A508" s="3" t="s">
        <v>1081</v>
      </c>
      <c r="B508" s="2">
        <v>357</v>
      </c>
      <c r="C508" s="2">
        <v>37</v>
      </c>
      <c r="D508" s="2" t="s">
        <v>1082</v>
      </c>
      <c r="E508" s="2">
        <v>1999</v>
      </c>
      <c r="F508" s="3" t="s">
        <v>95</v>
      </c>
      <c r="G508" s="3" t="s">
        <v>121</v>
      </c>
      <c r="H508" s="2">
        <v>88</v>
      </c>
      <c r="I508" s="10" t="str">
        <f>IFERROR(VLOOKUP($C508,Merchants!$A$2:$D$41,2,FALSE),"Merchant not found")</f>
        <v>Merchant_037</v>
      </c>
      <c r="J508" s="10" t="str">
        <f>IFERROR(VLOOKUP($C508,Merchants!$A$2:$D$41,3,FALSE),"Merchant not found")</f>
        <v>entertainment</v>
      </c>
      <c r="K508" s="10" t="str">
        <f>IFERROR(VLOOKUP($C508,Merchants!$A$2:$D$41,4,FALSE),"Merchant not found")</f>
        <v>South</v>
      </c>
      <c r="L508" s="11" t="str">
        <f t="shared" si="7"/>
        <v>Standard</v>
      </c>
    </row>
    <row r="509" spans="1:12" x14ac:dyDescent="0.3">
      <c r="A509" s="5" t="s">
        <v>1083</v>
      </c>
      <c r="B509" s="4">
        <v>358</v>
      </c>
      <c r="C509" s="4">
        <v>36</v>
      </c>
      <c r="D509" s="4" t="s">
        <v>1084</v>
      </c>
      <c r="E509" s="4">
        <v>999</v>
      </c>
      <c r="F509" s="5" t="s">
        <v>95</v>
      </c>
      <c r="G509" s="5" t="s">
        <v>121</v>
      </c>
      <c r="H509" s="4">
        <v>100</v>
      </c>
      <c r="I509" s="12" t="str">
        <f>IFERROR(VLOOKUP($C509,Merchants!$A$2:$D$41,2,FALSE),"Merchant not found")</f>
        <v>Merchant_036</v>
      </c>
      <c r="J509" s="12" t="str">
        <f>IFERROR(VLOOKUP($C509,Merchants!$A$2:$D$41,3,FALSE),"Merchant not found")</f>
        <v>entertainment</v>
      </c>
      <c r="K509" s="12" t="str">
        <f>IFERROR(VLOOKUP($C509,Merchants!$A$2:$D$41,4,FALSE),"Merchant not found")</f>
        <v>East</v>
      </c>
      <c r="L509" s="13" t="str">
        <f t="shared" si="7"/>
        <v>Standard</v>
      </c>
    </row>
    <row r="510" spans="1:12" x14ac:dyDescent="0.3">
      <c r="A510" s="3" t="s">
        <v>1085</v>
      </c>
      <c r="B510" s="2">
        <v>359</v>
      </c>
      <c r="C510" s="2">
        <v>29</v>
      </c>
      <c r="D510" s="2" t="s">
        <v>1086</v>
      </c>
      <c r="E510" s="2">
        <v>2999</v>
      </c>
      <c r="F510" s="3" t="s">
        <v>95</v>
      </c>
      <c r="G510" s="3" t="s">
        <v>121</v>
      </c>
      <c r="H510" s="2">
        <v>96</v>
      </c>
      <c r="I510" s="10" t="str">
        <f>IFERROR(VLOOKUP($C510,Merchants!$A$2:$D$41,2,FALSE),"Merchant not found")</f>
        <v>Merchant_029</v>
      </c>
      <c r="J510" s="10" t="str">
        <f>IFERROR(VLOOKUP($C510,Merchants!$A$2:$D$41,3,FALSE),"Merchant not found")</f>
        <v>ecommerce</v>
      </c>
      <c r="K510" s="10" t="str">
        <f>IFERROR(VLOOKUP($C510,Merchants!$A$2:$D$41,4,FALSE),"Merchant not found")</f>
        <v>North</v>
      </c>
      <c r="L510" s="11" t="str">
        <f t="shared" si="7"/>
        <v>Standard</v>
      </c>
    </row>
    <row r="511" spans="1:12" x14ac:dyDescent="0.3">
      <c r="A511" s="5" t="s">
        <v>1087</v>
      </c>
      <c r="B511" s="4">
        <v>360</v>
      </c>
      <c r="C511" s="4">
        <v>32</v>
      </c>
      <c r="D511" s="4" t="s">
        <v>1088</v>
      </c>
      <c r="E511" s="4">
        <v>1999</v>
      </c>
      <c r="F511" s="5" t="s">
        <v>95</v>
      </c>
      <c r="G511" s="5" t="s">
        <v>121</v>
      </c>
      <c r="H511" s="4">
        <v>90</v>
      </c>
      <c r="I511" s="12" t="str">
        <f>IFERROR(VLOOKUP($C511,Merchants!$A$2:$D$41,2,FALSE),"Merchant not found")</f>
        <v>Merchant_032</v>
      </c>
      <c r="J511" s="12" t="str">
        <f>IFERROR(VLOOKUP($C511,Merchants!$A$2:$D$41,3,FALSE),"Merchant not found")</f>
        <v>food_delivery</v>
      </c>
      <c r="K511" s="12" t="str">
        <f>IFERROR(VLOOKUP($C511,Merchants!$A$2:$D$41,4,FALSE),"Merchant not found")</f>
        <v>West</v>
      </c>
      <c r="L511" s="13" t="str">
        <f t="shared" si="7"/>
        <v>Standard</v>
      </c>
    </row>
    <row r="512" spans="1:12" x14ac:dyDescent="0.3">
      <c r="A512" s="3" t="s">
        <v>1089</v>
      </c>
      <c r="B512" s="2">
        <v>361</v>
      </c>
      <c r="C512" s="2">
        <v>10</v>
      </c>
      <c r="D512" s="2" t="s">
        <v>1090</v>
      </c>
      <c r="E512" s="2">
        <v>4999</v>
      </c>
      <c r="F512" s="3" t="s">
        <v>95</v>
      </c>
      <c r="G512" s="3" t="s">
        <v>121</v>
      </c>
      <c r="H512" s="2">
        <v>95</v>
      </c>
      <c r="I512" s="10" t="str">
        <f>IFERROR(VLOOKUP($C512,Merchants!$A$2:$D$41,2,FALSE),"Merchant not found")</f>
        <v>Merchant_010</v>
      </c>
      <c r="J512" s="10" t="str">
        <f>IFERROR(VLOOKUP($C512,Merchants!$A$2:$D$41,3,FALSE),"Merchant not found")</f>
        <v>grocery</v>
      </c>
      <c r="K512" s="10" t="str">
        <f>IFERROR(VLOOKUP($C512,Merchants!$A$2:$D$41,4,FALSE),"Merchant not found")</f>
        <v>West</v>
      </c>
      <c r="L512" s="11" t="str">
        <f t="shared" si="7"/>
        <v>Standard</v>
      </c>
    </row>
    <row r="513" spans="1:12" x14ac:dyDescent="0.3">
      <c r="A513" s="5" t="s">
        <v>1091</v>
      </c>
      <c r="B513" s="4">
        <v>362</v>
      </c>
      <c r="C513" s="4">
        <v>39</v>
      </c>
      <c r="D513" s="4" t="s">
        <v>1092</v>
      </c>
      <c r="E513" s="4">
        <v>4999</v>
      </c>
      <c r="F513" s="5" t="s">
        <v>95</v>
      </c>
      <c r="G513" s="5" t="s">
        <v>121</v>
      </c>
      <c r="H513" s="4">
        <v>88</v>
      </c>
      <c r="I513" s="12" t="str">
        <f>IFERROR(VLOOKUP($C513,Merchants!$A$2:$D$41,2,FALSE),"Merchant not found")</f>
        <v>Merchant_039</v>
      </c>
      <c r="J513" s="12" t="str">
        <f>IFERROR(VLOOKUP($C513,Merchants!$A$2:$D$41,3,FALSE),"Merchant not found")</f>
        <v>entertainment</v>
      </c>
      <c r="K513" s="12" t="str">
        <f>IFERROR(VLOOKUP($C513,Merchants!$A$2:$D$41,4,FALSE),"Merchant not found")</f>
        <v>North</v>
      </c>
      <c r="L513" s="13" t="str">
        <f t="shared" si="7"/>
        <v>Standard</v>
      </c>
    </row>
    <row r="514" spans="1:12" x14ac:dyDescent="0.3">
      <c r="A514" s="3" t="s">
        <v>1093</v>
      </c>
      <c r="B514" s="2">
        <v>363</v>
      </c>
      <c r="C514" s="2">
        <v>27</v>
      </c>
      <c r="D514" s="2" t="s">
        <v>1094</v>
      </c>
      <c r="E514" s="2">
        <v>999</v>
      </c>
      <c r="F514" s="3" t="s">
        <v>95</v>
      </c>
      <c r="G514" s="3" t="s">
        <v>121</v>
      </c>
      <c r="H514" s="2">
        <v>95</v>
      </c>
      <c r="I514" s="10" t="str">
        <f>IFERROR(VLOOKUP($C514,Merchants!$A$2:$D$41,2,FALSE),"Merchant not found")</f>
        <v>Merchant_027</v>
      </c>
      <c r="J514" s="10" t="str">
        <f>IFERROR(VLOOKUP($C514,Merchants!$A$2:$D$41,3,FALSE),"Merchant not found")</f>
        <v>ecommerce</v>
      </c>
      <c r="K514" s="10" t="str">
        <f>IFERROR(VLOOKUP($C514,Merchants!$A$2:$D$41,4,FALSE),"Merchant not found")</f>
        <v>North</v>
      </c>
      <c r="L514" s="11" t="str">
        <f t="shared" ref="L514:L548" si="8">IF(AND(SUMPRODUCT(($C$2:$C$548=$C514)*(LEFT($D$2:$D$548,10)=LEFT($D514,10))*$E$2:$E$548)&gt;5000,$K514&lt;&gt;"East"),"High-Value Merchant Day","Standard")</f>
        <v>Standard</v>
      </c>
    </row>
    <row r="515" spans="1:12" x14ac:dyDescent="0.3">
      <c r="A515" s="5" t="s">
        <v>1095</v>
      </c>
      <c r="B515" s="4">
        <v>364</v>
      </c>
      <c r="C515" s="4">
        <v>39</v>
      </c>
      <c r="D515" s="4" t="s">
        <v>1096</v>
      </c>
      <c r="E515" s="4">
        <v>999</v>
      </c>
      <c r="F515" s="5" t="s">
        <v>95</v>
      </c>
      <c r="G515" s="5" t="s">
        <v>121</v>
      </c>
      <c r="H515" s="4">
        <v>73</v>
      </c>
      <c r="I515" s="12" t="str">
        <f>IFERROR(VLOOKUP($C515,Merchants!$A$2:$D$41,2,FALSE),"Merchant not found")</f>
        <v>Merchant_039</v>
      </c>
      <c r="J515" s="12" t="str">
        <f>IFERROR(VLOOKUP($C515,Merchants!$A$2:$D$41,3,FALSE),"Merchant not found")</f>
        <v>entertainment</v>
      </c>
      <c r="K515" s="12" t="str">
        <f>IFERROR(VLOOKUP($C515,Merchants!$A$2:$D$41,4,FALSE),"Merchant not found")</f>
        <v>North</v>
      </c>
      <c r="L515" s="13" t="str">
        <f t="shared" si="8"/>
        <v>High-Value Merchant Day</v>
      </c>
    </row>
    <row r="516" spans="1:12" x14ac:dyDescent="0.3">
      <c r="A516" s="3" t="s">
        <v>1097</v>
      </c>
      <c r="B516" s="2">
        <v>365</v>
      </c>
      <c r="C516" s="2">
        <v>23</v>
      </c>
      <c r="D516" s="2" t="s">
        <v>1098</v>
      </c>
      <c r="E516" s="2">
        <v>1999</v>
      </c>
      <c r="F516" s="3" t="s">
        <v>95</v>
      </c>
      <c r="G516" s="3" t="s">
        <v>121</v>
      </c>
      <c r="H516" s="2">
        <v>90</v>
      </c>
      <c r="I516" s="10" t="str">
        <f>IFERROR(VLOOKUP($C516,Merchants!$A$2:$D$41,2,FALSE),"Merchant not found")</f>
        <v>Merchant_023</v>
      </c>
      <c r="J516" s="10" t="str">
        <f>IFERROR(VLOOKUP($C516,Merchants!$A$2:$D$41,3,FALSE),"Merchant not found")</f>
        <v>travel</v>
      </c>
      <c r="K516" s="10" t="str">
        <f>IFERROR(VLOOKUP($C516,Merchants!$A$2:$D$41,4,FALSE),"Merchant not found")</f>
        <v>North</v>
      </c>
      <c r="L516" s="11" t="str">
        <f t="shared" si="8"/>
        <v>Standard</v>
      </c>
    </row>
    <row r="517" spans="1:12" x14ac:dyDescent="0.3">
      <c r="A517" s="5" t="s">
        <v>1099</v>
      </c>
      <c r="B517" s="4">
        <v>314</v>
      </c>
      <c r="C517" s="4">
        <v>26</v>
      </c>
      <c r="D517" s="4" t="s">
        <v>1100</v>
      </c>
      <c r="E517" s="4">
        <v>399</v>
      </c>
      <c r="F517" s="5" t="s">
        <v>95</v>
      </c>
      <c r="G517" s="5" t="s">
        <v>96</v>
      </c>
      <c r="H517" s="4">
        <v>87</v>
      </c>
      <c r="I517" s="12" t="str">
        <f>IFERROR(VLOOKUP($C517,Merchants!$A$2:$D$41,2,FALSE),"Merchant not found")</f>
        <v>Merchant_026</v>
      </c>
      <c r="J517" s="12" t="str">
        <f>IFERROR(VLOOKUP($C517,Merchants!$A$2:$D$41,3,FALSE),"Merchant not found")</f>
        <v>food_delivery</v>
      </c>
      <c r="K517" s="12" t="str">
        <f>IFERROR(VLOOKUP($C517,Merchants!$A$2:$D$41,4,FALSE),"Merchant not found")</f>
        <v>East</v>
      </c>
      <c r="L517" s="13" t="str">
        <f t="shared" si="8"/>
        <v>Standard</v>
      </c>
    </row>
    <row r="518" spans="1:12" x14ac:dyDescent="0.3">
      <c r="A518" s="3" t="s">
        <v>1101</v>
      </c>
      <c r="B518" s="2">
        <v>314</v>
      </c>
      <c r="C518" s="2">
        <v>7</v>
      </c>
      <c r="D518" s="2" t="s">
        <v>1102</v>
      </c>
      <c r="E518" s="2">
        <v>299</v>
      </c>
      <c r="F518" s="3" t="s">
        <v>95</v>
      </c>
      <c r="G518" s="3" t="s">
        <v>96</v>
      </c>
      <c r="H518" s="2">
        <v>66</v>
      </c>
      <c r="I518" s="10" t="str">
        <f>IFERROR(VLOOKUP($C518,Merchants!$A$2:$D$41,2,FALSE),"Merchant not found")</f>
        <v>Merchant_007</v>
      </c>
      <c r="J518" s="10" t="str">
        <f>IFERROR(VLOOKUP($C518,Merchants!$A$2:$D$41,3,FALSE),"Merchant not found")</f>
        <v>food_delivery</v>
      </c>
      <c r="K518" s="10" t="str">
        <f>IFERROR(VLOOKUP($C518,Merchants!$A$2:$D$41,4,FALSE),"Merchant not found")</f>
        <v>East</v>
      </c>
      <c r="L518" s="11" t="str">
        <f t="shared" si="8"/>
        <v>Standard</v>
      </c>
    </row>
    <row r="519" spans="1:12" x14ac:dyDescent="0.3">
      <c r="A519" s="5" t="s">
        <v>1103</v>
      </c>
      <c r="B519" s="4">
        <v>314</v>
      </c>
      <c r="C519" s="4">
        <v>17</v>
      </c>
      <c r="D519" s="4" t="s">
        <v>1104</v>
      </c>
      <c r="E519" s="4">
        <v>299</v>
      </c>
      <c r="F519" s="5" t="s">
        <v>95</v>
      </c>
      <c r="G519" s="5" t="s">
        <v>96</v>
      </c>
      <c r="H519" s="4">
        <v>92</v>
      </c>
      <c r="I519" s="12" t="str">
        <f>IFERROR(VLOOKUP($C519,Merchants!$A$2:$D$41,2,FALSE),"Merchant not found")</f>
        <v>Merchant_017</v>
      </c>
      <c r="J519" s="12" t="str">
        <f>IFERROR(VLOOKUP($C519,Merchants!$A$2:$D$41,3,FALSE),"Merchant not found")</f>
        <v>grocery</v>
      </c>
      <c r="K519" s="12" t="str">
        <f>IFERROR(VLOOKUP($C519,Merchants!$A$2:$D$41,4,FALSE),"Merchant not found")</f>
        <v>North</v>
      </c>
      <c r="L519" s="13" t="str">
        <f t="shared" si="8"/>
        <v>Standard</v>
      </c>
    </row>
    <row r="520" spans="1:12" x14ac:dyDescent="0.3">
      <c r="A520" s="3" t="s">
        <v>1105</v>
      </c>
      <c r="B520" s="2">
        <v>314</v>
      </c>
      <c r="C520" s="2">
        <v>34</v>
      </c>
      <c r="D520" s="2" t="s">
        <v>1106</v>
      </c>
      <c r="E520" s="2">
        <v>499</v>
      </c>
      <c r="F520" s="3" t="s">
        <v>95</v>
      </c>
      <c r="G520" s="3" t="s">
        <v>70</v>
      </c>
      <c r="H520" s="2">
        <v>74</v>
      </c>
      <c r="I520" s="10" t="str">
        <f>IFERROR(VLOOKUP($C520,Merchants!$A$2:$D$41,2,FALSE),"Merchant not found")</f>
        <v>Merchant_034</v>
      </c>
      <c r="J520" s="10" t="str">
        <f>IFERROR(VLOOKUP($C520,Merchants!$A$2:$D$41,3,FALSE),"Merchant not found")</f>
        <v>travel</v>
      </c>
      <c r="K520" s="10" t="str">
        <f>IFERROR(VLOOKUP($C520,Merchants!$A$2:$D$41,4,FALSE),"Merchant not found")</f>
        <v>South</v>
      </c>
      <c r="L520" s="11" t="str">
        <f t="shared" si="8"/>
        <v>Standard</v>
      </c>
    </row>
    <row r="521" spans="1:12" x14ac:dyDescent="0.3">
      <c r="A521" s="5" t="s">
        <v>1107</v>
      </c>
      <c r="B521" s="4">
        <v>229</v>
      </c>
      <c r="C521" s="4">
        <v>30</v>
      </c>
      <c r="D521" s="4" t="s">
        <v>1108</v>
      </c>
      <c r="E521" s="4">
        <v>499</v>
      </c>
      <c r="F521" s="5" t="s">
        <v>95</v>
      </c>
      <c r="G521" s="5" t="s">
        <v>96</v>
      </c>
      <c r="H521" s="4">
        <v>92</v>
      </c>
      <c r="I521" s="12" t="str">
        <f>IFERROR(VLOOKUP($C521,Merchants!$A$2:$D$41,2,FALSE),"Merchant not found")</f>
        <v>Merchant_030</v>
      </c>
      <c r="J521" s="12" t="str">
        <f>IFERROR(VLOOKUP($C521,Merchants!$A$2:$D$41,3,FALSE),"Merchant not found")</f>
        <v>travel</v>
      </c>
      <c r="K521" s="12" t="str">
        <f>IFERROR(VLOOKUP($C521,Merchants!$A$2:$D$41,4,FALSE),"Merchant not found")</f>
        <v>West</v>
      </c>
      <c r="L521" s="13" t="str">
        <f t="shared" si="8"/>
        <v>Standard</v>
      </c>
    </row>
    <row r="522" spans="1:12" x14ac:dyDescent="0.3">
      <c r="A522" s="3" t="s">
        <v>1109</v>
      </c>
      <c r="B522" s="2">
        <v>229</v>
      </c>
      <c r="C522" s="2">
        <v>10</v>
      </c>
      <c r="D522" s="2" t="s">
        <v>1110</v>
      </c>
      <c r="E522" s="2">
        <v>399</v>
      </c>
      <c r="F522" s="3" t="s">
        <v>95</v>
      </c>
      <c r="G522" s="3" t="s">
        <v>96</v>
      </c>
      <c r="H522" s="2">
        <v>61</v>
      </c>
      <c r="I522" s="10" t="str">
        <f>IFERROR(VLOOKUP($C522,Merchants!$A$2:$D$41,2,FALSE),"Merchant not found")</f>
        <v>Merchant_010</v>
      </c>
      <c r="J522" s="10" t="str">
        <f>IFERROR(VLOOKUP($C522,Merchants!$A$2:$D$41,3,FALSE),"Merchant not found")</f>
        <v>grocery</v>
      </c>
      <c r="K522" s="10" t="str">
        <f>IFERROR(VLOOKUP($C522,Merchants!$A$2:$D$41,4,FALSE),"Merchant not found")</f>
        <v>West</v>
      </c>
      <c r="L522" s="11" t="str">
        <f t="shared" si="8"/>
        <v>Standard</v>
      </c>
    </row>
    <row r="523" spans="1:12" x14ac:dyDescent="0.3">
      <c r="A523" s="5" t="s">
        <v>1111</v>
      </c>
      <c r="B523" s="4">
        <v>229</v>
      </c>
      <c r="C523" s="4">
        <v>31</v>
      </c>
      <c r="D523" s="4" t="s">
        <v>1112</v>
      </c>
      <c r="E523" s="4">
        <v>299</v>
      </c>
      <c r="F523" s="5" t="s">
        <v>95</v>
      </c>
      <c r="G523" s="5" t="s">
        <v>96</v>
      </c>
      <c r="H523" s="4">
        <v>78</v>
      </c>
      <c r="I523" s="12" t="str">
        <f>IFERROR(VLOOKUP($C523,Merchants!$A$2:$D$41,2,FALSE),"Merchant not found")</f>
        <v>Merchant_031</v>
      </c>
      <c r="J523" s="12" t="str">
        <f>IFERROR(VLOOKUP($C523,Merchants!$A$2:$D$41,3,FALSE),"Merchant not found")</f>
        <v>bill_payment</v>
      </c>
      <c r="K523" s="12" t="str">
        <f>IFERROR(VLOOKUP($C523,Merchants!$A$2:$D$41,4,FALSE),"Merchant not found")</f>
        <v>East</v>
      </c>
      <c r="L523" s="13" t="str">
        <f t="shared" si="8"/>
        <v>Standard</v>
      </c>
    </row>
    <row r="524" spans="1:12" x14ac:dyDescent="0.3">
      <c r="A524" s="3" t="s">
        <v>1113</v>
      </c>
      <c r="B524" s="2">
        <v>229</v>
      </c>
      <c r="C524" s="2">
        <v>27</v>
      </c>
      <c r="D524" s="2" t="s">
        <v>1114</v>
      </c>
      <c r="E524" s="2">
        <v>299</v>
      </c>
      <c r="F524" s="3" t="s">
        <v>95</v>
      </c>
      <c r="G524" s="3" t="s">
        <v>70</v>
      </c>
      <c r="H524" s="2">
        <v>67</v>
      </c>
      <c r="I524" s="10" t="str">
        <f>IFERROR(VLOOKUP($C524,Merchants!$A$2:$D$41,2,FALSE),"Merchant not found")</f>
        <v>Merchant_027</v>
      </c>
      <c r="J524" s="10" t="str">
        <f>IFERROR(VLOOKUP($C524,Merchants!$A$2:$D$41,3,FALSE),"Merchant not found")</f>
        <v>ecommerce</v>
      </c>
      <c r="K524" s="10" t="str">
        <f>IFERROR(VLOOKUP($C524,Merchants!$A$2:$D$41,4,FALSE),"Merchant not found")</f>
        <v>North</v>
      </c>
      <c r="L524" s="11" t="str">
        <f t="shared" si="8"/>
        <v>Standard</v>
      </c>
    </row>
    <row r="525" spans="1:12" x14ac:dyDescent="0.3">
      <c r="A525" s="5" t="s">
        <v>1115</v>
      </c>
      <c r="B525" s="4">
        <v>73</v>
      </c>
      <c r="C525" s="4">
        <v>22</v>
      </c>
      <c r="D525" s="4" t="s">
        <v>1116</v>
      </c>
      <c r="E525" s="4">
        <v>399</v>
      </c>
      <c r="F525" s="5" t="s">
        <v>95</v>
      </c>
      <c r="G525" s="5" t="s">
        <v>96</v>
      </c>
      <c r="H525" s="4">
        <v>73</v>
      </c>
      <c r="I525" s="12" t="str">
        <f>IFERROR(VLOOKUP($C525,Merchants!$A$2:$D$41,2,FALSE),"Merchant not found")</f>
        <v>Merchant_022</v>
      </c>
      <c r="J525" s="12" t="str">
        <f>IFERROR(VLOOKUP($C525,Merchants!$A$2:$D$41,3,FALSE),"Merchant not found")</f>
        <v>travel</v>
      </c>
      <c r="K525" s="12" t="str">
        <f>IFERROR(VLOOKUP($C525,Merchants!$A$2:$D$41,4,FALSE),"Merchant not found")</f>
        <v>South</v>
      </c>
      <c r="L525" s="13" t="str">
        <f t="shared" si="8"/>
        <v>Standard</v>
      </c>
    </row>
    <row r="526" spans="1:12" x14ac:dyDescent="0.3">
      <c r="A526" s="3" t="s">
        <v>1117</v>
      </c>
      <c r="B526" s="2">
        <v>73</v>
      </c>
      <c r="C526" s="2">
        <v>34</v>
      </c>
      <c r="D526" s="2" t="s">
        <v>1118</v>
      </c>
      <c r="E526" s="2">
        <v>399</v>
      </c>
      <c r="F526" s="3" t="s">
        <v>95</v>
      </c>
      <c r="G526" s="3" t="s">
        <v>96</v>
      </c>
      <c r="H526" s="2">
        <v>82</v>
      </c>
      <c r="I526" s="10" t="str">
        <f>IFERROR(VLOOKUP($C526,Merchants!$A$2:$D$41,2,FALSE),"Merchant not found")</f>
        <v>Merchant_034</v>
      </c>
      <c r="J526" s="10" t="str">
        <f>IFERROR(VLOOKUP($C526,Merchants!$A$2:$D$41,3,FALSE),"Merchant not found")</f>
        <v>travel</v>
      </c>
      <c r="K526" s="10" t="str">
        <f>IFERROR(VLOOKUP($C526,Merchants!$A$2:$D$41,4,FALSE),"Merchant not found")</f>
        <v>South</v>
      </c>
      <c r="L526" s="11" t="str">
        <f t="shared" si="8"/>
        <v>Standard</v>
      </c>
    </row>
    <row r="527" spans="1:12" x14ac:dyDescent="0.3">
      <c r="A527" s="5" t="s">
        <v>1119</v>
      </c>
      <c r="B527" s="4">
        <v>73</v>
      </c>
      <c r="C527" s="4">
        <v>31</v>
      </c>
      <c r="D527" s="4" t="s">
        <v>1120</v>
      </c>
      <c r="E527" s="4">
        <v>299</v>
      </c>
      <c r="F527" s="5" t="s">
        <v>95</v>
      </c>
      <c r="G527" s="5" t="s">
        <v>96</v>
      </c>
      <c r="H527" s="4">
        <v>88</v>
      </c>
      <c r="I527" s="12" t="str">
        <f>IFERROR(VLOOKUP($C527,Merchants!$A$2:$D$41,2,FALSE),"Merchant not found")</f>
        <v>Merchant_031</v>
      </c>
      <c r="J527" s="12" t="str">
        <f>IFERROR(VLOOKUP($C527,Merchants!$A$2:$D$41,3,FALSE),"Merchant not found")</f>
        <v>bill_payment</v>
      </c>
      <c r="K527" s="12" t="str">
        <f>IFERROR(VLOOKUP($C527,Merchants!$A$2:$D$41,4,FALSE),"Merchant not found")</f>
        <v>East</v>
      </c>
      <c r="L527" s="13" t="str">
        <f t="shared" si="8"/>
        <v>Standard</v>
      </c>
    </row>
    <row r="528" spans="1:12" x14ac:dyDescent="0.3">
      <c r="A528" s="3" t="s">
        <v>1121</v>
      </c>
      <c r="B528" s="2">
        <v>73</v>
      </c>
      <c r="C528" s="2">
        <v>29</v>
      </c>
      <c r="D528" s="2" t="s">
        <v>1122</v>
      </c>
      <c r="E528" s="2">
        <v>399</v>
      </c>
      <c r="F528" s="3" t="s">
        <v>95</v>
      </c>
      <c r="G528" s="3" t="s">
        <v>70</v>
      </c>
      <c r="H528" s="2">
        <v>64</v>
      </c>
      <c r="I528" s="10" t="str">
        <f>IFERROR(VLOOKUP($C528,Merchants!$A$2:$D$41,2,FALSE),"Merchant not found")</f>
        <v>Merchant_029</v>
      </c>
      <c r="J528" s="10" t="str">
        <f>IFERROR(VLOOKUP($C528,Merchants!$A$2:$D$41,3,FALSE),"Merchant not found")</f>
        <v>ecommerce</v>
      </c>
      <c r="K528" s="10" t="str">
        <f>IFERROR(VLOOKUP($C528,Merchants!$A$2:$D$41,4,FALSE),"Merchant not found")</f>
        <v>North</v>
      </c>
      <c r="L528" s="11" t="str">
        <f t="shared" si="8"/>
        <v>Standard</v>
      </c>
    </row>
    <row r="529" spans="1:12" x14ac:dyDescent="0.3">
      <c r="A529" s="5" t="s">
        <v>1123</v>
      </c>
      <c r="B529" s="4">
        <v>154</v>
      </c>
      <c r="C529" s="4">
        <v>8</v>
      </c>
      <c r="D529" s="4" t="s">
        <v>1124</v>
      </c>
      <c r="E529" s="4">
        <v>299</v>
      </c>
      <c r="F529" s="5" t="s">
        <v>95</v>
      </c>
      <c r="G529" s="5" t="s">
        <v>96</v>
      </c>
      <c r="H529" s="4">
        <v>81</v>
      </c>
      <c r="I529" s="12" t="str">
        <f>IFERROR(VLOOKUP($C529,Merchants!$A$2:$D$41,2,FALSE),"Merchant not found")</f>
        <v>Merchant_008</v>
      </c>
      <c r="J529" s="12" t="str">
        <f>IFERROR(VLOOKUP($C529,Merchants!$A$2:$D$41,3,FALSE),"Merchant not found")</f>
        <v>food_delivery</v>
      </c>
      <c r="K529" s="12" t="str">
        <f>IFERROR(VLOOKUP($C529,Merchants!$A$2:$D$41,4,FALSE),"Merchant not found")</f>
        <v>North</v>
      </c>
      <c r="L529" s="13" t="str">
        <f t="shared" si="8"/>
        <v>Standard</v>
      </c>
    </row>
    <row r="530" spans="1:12" x14ac:dyDescent="0.3">
      <c r="A530" s="3" t="s">
        <v>1125</v>
      </c>
      <c r="B530" s="2">
        <v>154</v>
      </c>
      <c r="C530" s="2">
        <v>7</v>
      </c>
      <c r="D530" s="2" t="s">
        <v>1126</v>
      </c>
      <c r="E530" s="2">
        <v>499</v>
      </c>
      <c r="F530" s="3" t="s">
        <v>95</v>
      </c>
      <c r="G530" s="3" t="s">
        <v>96</v>
      </c>
      <c r="H530" s="2">
        <v>70</v>
      </c>
      <c r="I530" s="10" t="str">
        <f>IFERROR(VLOOKUP($C530,Merchants!$A$2:$D$41,2,FALSE),"Merchant not found")</f>
        <v>Merchant_007</v>
      </c>
      <c r="J530" s="10" t="str">
        <f>IFERROR(VLOOKUP($C530,Merchants!$A$2:$D$41,3,FALSE),"Merchant not found")</f>
        <v>food_delivery</v>
      </c>
      <c r="K530" s="10" t="str">
        <f>IFERROR(VLOOKUP($C530,Merchants!$A$2:$D$41,4,FALSE),"Merchant not found")</f>
        <v>East</v>
      </c>
      <c r="L530" s="11" t="str">
        <f t="shared" si="8"/>
        <v>Standard</v>
      </c>
    </row>
    <row r="531" spans="1:12" x14ac:dyDescent="0.3">
      <c r="A531" s="5" t="s">
        <v>1127</v>
      </c>
      <c r="B531" s="4">
        <v>154</v>
      </c>
      <c r="C531" s="4">
        <v>16</v>
      </c>
      <c r="D531" s="4" t="s">
        <v>1128</v>
      </c>
      <c r="E531" s="4">
        <v>499</v>
      </c>
      <c r="F531" s="5" t="s">
        <v>95</v>
      </c>
      <c r="G531" s="5" t="s">
        <v>96</v>
      </c>
      <c r="H531" s="4">
        <v>71</v>
      </c>
      <c r="I531" s="12" t="str">
        <f>IFERROR(VLOOKUP($C531,Merchants!$A$2:$D$41,2,FALSE),"Merchant not found")</f>
        <v>Merchant_016</v>
      </c>
      <c r="J531" s="12" t="str">
        <f>IFERROR(VLOOKUP($C531,Merchants!$A$2:$D$41,3,FALSE),"Merchant not found")</f>
        <v>bill_payment</v>
      </c>
      <c r="K531" s="12" t="str">
        <f>IFERROR(VLOOKUP($C531,Merchants!$A$2:$D$41,4,FALSE),"Merchant not found")</f>
        <v>West</v>
      </c>
      <c r="L531" s="13" t="str">
        <f t="shared" si="8"/>
        <v>Standard</v>
      </c>
    </row>
    <row r="532" spans="1:12" x14ac:dyDescent="0.3">
      <c r="A532" s="3" t="s">
        <v>1129</v>
      </c>
      <c r="B532" s="2">
        <v>154</v>
      </c>
      <c r="C532" s="2">
        <v>36</v>
      </c>
      <c r="D532" s="2" t="s">
        <v>1130</v>
      </c>
      <c r="E532" s="2">
        <v>299</v>
      </c>
      <c r="F532" s="3" t="s">
        <v>95</v>
      </c>
      <c r="G532" s="3" t="s">
        <v>70</v>
      </c>
      <c r="H532" s="2">
        <v>81</v>
      </c>
      <c r="I532" s="10" t="str">
        <f>IFERROR(VLOOKUP($C532,Merchants!$A$2:$D$41,2,FALSE),"Merchant not found")</f>
        <v>Merchant_036</v>
      </c>
      <c r="J532" s="10" t="str">
        <f>IFERROR(VLOOKUP($C532,Merchants!$A$2:$D$41,3,FALSE),"Merchant not found")</f>
        <v>entertainment</v>
      </c>
      <c r="K532" s="10" t="str">
        <f>IFERROR(VLOOKUP($C532,Merchants!$A$2:$D$41,4,FALSE),"Merchant not found")</f>
        <v>East</v>
      </c>
      <c r="L532" s="11" t="str">
        <f t="shared" si="8"/>
        <v>Standard</v>
      </c>
    </row>
    <row r="533" spans="1:12" x14ac:dyDescent="0.3">
      <c r="A533" s="5" t="s">
        <v>1131</v>
      </c>
      <c r="B533" s="4">
        <v>287</v>
      </c>
      <c r="C533" s="4">
        <v>15</v>
      </c>
      <c r="D533" s="4" t="s">
        <v>1132</v>
      </c>
      <c r="E533" s="4">
        <v>399</v>
      </c>
      <c r="F533" s="5" t="s">
        <v>95</v>
      </c>
      <c r="G533" s="5" t="s">
        <v>96</v>
      </c>
      <c r="H533" s="4">
        <v>71</v>
      </c>
      <c r="I533" s="12" t="str">
        <f>IFERROR(VLOOKUP($C533,Merchants!$A$2:$D$41,2,FALSE),"Merchant not found")</f>
        <v>Merchant_015</v>
      </c>
      <c r="J533" s="12" t="str">
        <f>IFERROR(VLOOKUP($C533,Merchants!$A$2:$D$41,3,FALSE),"Merchant not found")</f>
        <v>travel</v>
      </c>
      <c r="K533" s="12" t="str">
        <f>IFERROR(VLOOKUP($C533,Merchants!$A$2:$D$41,4,FALSE),"Merchant not found")</f>
        <v>North</v>
      </c>
      <c r="L533" s="13" t="str">
        <f t="shared" si="8"/>
        <v>Standard</v>
      </c>
    </row>
    <row r="534" spans="1:12" x14ac:dyDescent="0.3">
      <c r="A534" s="3" t="s">
        <v>1133</v>
      </c>
      <c r="B534" s="2">
        <v>287</v>
      </c>
      <c r="C534" s="2">
        <v>12</v>
      </c>
      <c r="D534" s="2" t="s">
        <v>1134</v>
      </c>
      <c r="E534" s="2">
        <v>499</v>
      </c>
      <c r="F534" s="3" t="s">
        <v>95</v>
      </c>
      <c r="G534" s="3" t="s">
        <v>96</v>
      </c>
      <c r="H534" s="2">
        <v>87</v>
      </c>
      <c r="I534" s="10" t="str">
        <f>IFERROR(VLOOKUP($C534,Merchants!$A$2:$D$41,2,FALSE),"Merchant not found")</f>
        <v>Merchant_012</v>
      </c>
      <c r="J534" s="10" t="str">
        <f>IFERROR(VLOOKUP($C534,Merchants!$A$2:$D$41,3,FALSE),"Merchant not found")</f>
        <v>ecommerce</v>
      </c>
      <c r="K534" s="10" t="str">
        <f>IFERROR(VLOOKUP($C534,Merchants!$A$2:$D$41,4,FALSE),"Merchant not found")</f>
        <v>East</v>
      </c>
      <c r="L534" s="11" t="str">
        <f t="shared" si="8"/>
        <v>Standard</v>
      </c>
    </row>
    <row r="535" spans="1:12" x14ac:dyDescent="0.3">
      <c r="A535" s="5" t="s">
        <v>1135</v>
      </c>
      <c r="B535" s="4">
        <v>287</v>
      </c>
      <c r="C535" s="4">
        <v>26</v>
      </c>
      <c r="D535" s="4" t="s">
        <v>1136</v>
      </c>
      <c r="E535" s="4">
        <v>299</v>
      </c>
      <c r="F535" s="5" t="s">
        <v>95</v>
      </c>
      <c r="G535" s="5" t="s">
        <v>96</v>
      </c>
      <c r="H535" s="4">
        <v>72</v>
      </c>
      <c r="I535" s="12" t="str">
        <f>IFERROR(VLOOKUP($C535,Merchants!$A$2:$D$41,2,FALSE),"Merchant not found")</f>
        <v>Merchant_026</v>
      </c>
      <c r="J535" s="12" t="str">
        <f>IFERROR(VLOOKUP($C535,Merchants!$A$2:$D$41,3,FALSE),"Merchant not found")</f>
        <v>food_delivery</v>
      </c>
      <c r="K535" s="12" t="str">
        <f>IFERROR(VLOOKUP($C535,Merchants!$A$2:$D$41,4,FALSE),"Merchant not found")</f>
        <v>East</v>
      </c>
      <c r="L535" s="13" t="str">
        <f t="shared" si="8"/>
        <v>Standard</v>
      </c>
    </row>
    <row r="536" spans="1:12" x14ac:dyDescent="0.3">
      <c r="A536" s="3" t="s">
        <v>1137</v>
      </c>
      <c r="B536" s="2">
        <v>287</v>
      </c>
      <c r="C536" s="2">
        <v>29</v>
      </c>
      <c r="D536" s="2" t="s">
        <v>1138</v>
      </c>
      <c r="E536" s="2">
        <v>499</v>
      </c>
      <c r="F536" s="3" t="s">
        <v>95</v>
      </c>
      <c r="G536" s="3" t="s">
        <v>70</v>
      </c>
      <c r="H536" s="2">
        <v>87</v>
      </c>
      <c r="I536" s="10" t="str">
        <f>IFERROR(VLOOKUP($C536,Merchants!$A$2:$D$41,2,FALSE),"Merchant not found")</f>
        <v>Merchant_029</v>
      </c>
      <c r="J536" s="10" t="str">
        <f>IFERROR(VLOOKUP($C536,Merchants!$A$2:$D$41,3,FALSE),"Merchant not found")</f>
        <v>ecommerce</v>
      </c>
      <c r="K536" s="10" t="str">
        <f>IFERROR(VLOOKUP($C536,Merchants!$A$2:$D$41,4,FALSE),"Merchant not found")</f>
        <v>North</v>
      </c>
      <c r="L536" s="11" t="str">
        <f t="shared" si="8"/>
        <v>Standard</v>
      </c>
    </row>
    <row r="537" spans="1:12" x14ac:dyDescent="0.3">
      <c r="A537" s="5" t="s">
        <v>1139</v>
      </c>
      <c r="B537" s="4">
        <v>200</v>
      </c>
      <c r="C537" s="4">
        <v>14</v>
      </c>
      <c r="D537" s="4" t="s">
        <v>1140</v>
      </c>
      <c r="E537" s="4">
        <v>299</v>
      </c>
      <c r="F537" s="5" t="s">
        <v>95</v>
      </c>
      <c r="G537" s="5" t="s">
        <v>96</v>
      </c>
      <c r="H537" s="4">
        <v>77</v>
      </c>
      <c r="I537" s="12" t="str">
        <f>IFERROR(VLOOKUP($C537,Merchants!$A$2:$D$41,2,FALSE),"Merchant not found")</f>
        <v>Merchant_014</v>
      </c>
      <c r="J537" s="12" t="str">
        <f>IFERROR(VLOOKUP($C537,Merchants!$A$2:$D$41,3,FALSE),"Merchant not found")</f>
        <v>grocery</v>
      </c>
      <c r="K537" s="12" t="str">
        <f>IFERROR(VLOOKUP($C537,Merchants!$A$2:$D$41,4,FALSE),"Merchant not found")</f>
        <v>East</v>
      </c>
      <c r="L537" s="13" t="str">
        <f t="shared" si="8"/>
        <v>Standard</v>
      </c>
    </row>
    <row r="538" spans="1:12" x14ac:dyDescent="0.3">
      <c r="A538" s="3" t="s">
        <v>1141</v>
      </c>
      <c r="B538" s="2">
        <v>200</v>
      </c>
      <c r="C538" s="2">
        <v>5</v>
      </c>
      <c r="D538" s="2" t="s">
        <v>1142</v>
      </c>
      <c r="E538" s="2">
        <v>499</v>
      </c>
      <c r="F538" s="3" t="s">
        <v>95</v>
      </c>
      <c r="G538" s="3" t="s">
        <v>96</v>
      </c>
      <c r="H538" s="2">
        <v>66</v>
      </c>
      <c r="I538" s="10" t="str">
        <f>IFERROR(VLOOKUP($C538,Merchants!$A$2:$D$41,2,FALSE),"Merchant not found")</f>
        <v>Merchant_005</v>
      </c>
      <c r="J538" s="10" t="str">
        <f>IFERROR(VLOOKUP($C538,Merchants!$A$2:$D$41,3,FALSE),"Merchant not found")</f>
        <v>recharge</v>
      </c>
      <c r="K538" s="10" t="str">
        <f>IFERROR(VLOOKUP($C538,Merchants!$A$2:$D$41,4,FALSE),"Merchant not found")</f>
        <v>South</v>
      </c>
      <c r="L538" s="11" t="str">
        <f t="shared" si="8"/>
        <v>Standard</v>
      </c>
    </row>
    <row r="539" spans="1:12" x14ac:dyDescent="0.3">
      <c r="A539" s="5" t="s">
        <v>1143</v>
      </c>
      <c r="B539" s="4">
        <v>200</v>
      </c>
      <c r="C539" s="4">
        <v>35</v>
      </c>
      <c r="D539" s="4" t="s">
        <v>1144</v>
      </c>
      <c r="E539" s="4">
        <v>299</v>
      </c>
      <c r="F539" s="5" t="s">
        <v>95</v>
      </c>
      <c r="G539" s="5" t="s">
        <v>96</v>
      </c>
      <c r="H539" s="4">
        <v>83</v>
      </c>
      <c r="I539" s="12" t="str">
        <f>IFERROR(VLOOKUP($C539,Merchants!$A$2:$D$41,2,FALSE),"Merchant not found")</f>
        <v>Merchant_035</v>
      </c>
      <c r="J539" s="12" t="str">
        <f>IFERROR(VLOOKUP($C539,Merchants!$A$2:$D$41,3,FALSE),"Merchant not found")</f>
        <v>recharge</v>
      </c>
      <c r="K539" s="12" t="str">
        <f>IFERROR(VLOOKUP($C539,Merchants!$A$2:$D$41,4,FALSE),"Merchant not found")</f>
        <v>East</v>
      </c>
      <c r="L539" s="13" t="str">
        <f t="shared" si="8"/>
        <v>Standard</v>
      </c>
    </row>
    <row r="540" spans="1:12" x14ac:dyDescent="0.3">
      <c r="A540" s="3" t="s">
        <v>1145</v>
      </c>
      <c r="B540" s="2">
        <v>200</v>
      </c>
      <c r="C540" s="2">
        <v>21</v>
      </c>
      <c r="D540" s="2" t="s">
        <v>1146</v>
      </c>
      <c r="E540" s="2">
        <v>299</v>
      </c>
      <c r="F540" s="3" t="s">
        <v>95</v>
      </c>
      <c r="G540" s="3" t="s">
        <v>70</v>
      </c>
      <c r="H540" s="2">
        <v>89</v>
      </c>
      <c r="I540" s="10" t="str">
        <f>IFERROR(VLOOKUP($C540,Merchants!$A$2:$D$41,2,FALSE),"Merchant not found")</f>
        <v>Merchant_021</v>
      </c>
      <c r="J540" s="10" t="str">
        <f>IFERROR(VLOOKUP($C540,Merchants!$A$2:$D$41,3,FALSE),"Merchant not found")</f>
        <v>food_delivery</v>
      </c>
      <c r="K540" s="10" t="str">
        <f>IFERROR(VLOOKUP($C540,Merchants!$A$2:$D$41,4,FALSE),"Merchant not found")</f>
        <v>East</v>
      </c>
      <c r="L540" s="11" t="str">
        <f t="shared" si="8"/>
        <v>Standard</v>
      </c>
    </row>
    <row r="541" spans="1:12" x14ac:dyDescent="0.3">
      <c r="A541" s="5" t="s">
        <v>1147</v>
      </c>
      <c r="B541" s="4">
        <v>59</v>
      </c>
      <c r="C541" s="4">
        <v>32</v>
      </c>
      <c r="D541" s="4" t="s">
        <v>1148</v>
      </c>
      <c r="E541" s="4">
        <v>499</v>
      </c>
      <c r="F541" s="5" t="s">
        <v>95</v>
      </c>
      <c r="G541" s="5" t="s">
        <v>96</v>
      </c>
      <c r="H541" s="4">
        <v>80</v>
      </c>
      <c r="I541" s="12" t="str">
        <f>IFERROR(VLOOKUP($C541,Merchants!$A$2:$D$41,2,FALSE),"Merchant not found")</f>
        <v>Merchant_032</v>
      </c>
      <c r="J541" s="12" t="str">
        <f>IFERROR(VLOOKUP($C541,Merchants!$A$2:$D$41,3,FALSE),"Merchant not found")</f>
        <v>food_delivery</v>
      </c>
      <c r="K541" s="12" t="str">
        <f>IFERROR(VLOOKUP($C541,Merchants!$A$2:$D$41,4,FALSE),"Merchant not found")</f>
        <v>West</v>
      </c>
      <c r="L541" s="13" t="str">
        <f t="shared" si="8"/>
        <v>Standard</v>
      </c>
    </row>
    <row r="542" spans="1:12" x14ac:dyDescent="0.3">
      <c r="A542" s="3" t="s">
        <v>1149</v>
      </c>
      <c r="B542" s="2">
        <v>59</v>
      </c>
      <c r="C542" s="2">
        <v>39</v>
      </c>
      <c r="D542" s="2" t="s">
        <v>1150</v>
      </c>
      <c r="E542" s="2">
        <v>399</v>
      </c>
      <c r="F542" s="3" t="s">
        <v>95</v>
      </c>
      <c r="G542" s="3" t="s">
        <v>96</v>
      </c>
      <c r="H542" s="2">
        <v>85</v>
      </c>
      <c r="I542" s="10" t="str">
        <f>IFERROR(VLOOKUP($C542,Merchants!$A$2:$D$41,2,FALSE),"Merchant not found")</f>
        <v>Merchant_039</v>
      </c>
      <c r="J542" s="10" t="str">
        <f>IFERROR(VLOOKUP($C542,Merchants!$A$2:$D$41,3,FALSE),"Merchant not found")</f>
        <v>entertainment</v>
      </c>
      <c r="K542" s="10" t="str">
        <f>IFERROR(VLOOKUP($C542,Merchants!$A$2:$D$41,4,FALSE),"Merchant not found")</f>
        <v>North</v>
      </c>
      <c r="L542" s="11" t="str">
        <f t="shared" si="8"/>
        <v>Standard</v>
      </c>
    </row>
    <row r="543" spans="1:12" x14ac:dyDescent="0.3">
      <c r="A543" s="5" t="s">
        <v>1151</v>
      </c>
      <c r="B543" s="4">
        <v>59</v>
      </c>
      <c r="C543" s="4">
        <v>38</v>
      </c>
      <c r="D543" s="4" t="s">
        <v>1152</v>
      </c>
      <c r="E543" s="4">
        <v>299</v>
      </c>
      <c r="F543" s="5" t="s">
        <v>95</v>
      </c>
      <c r="G543" s="5" t="s">
        <v>96</v>
      </c>
      <c r="H543" s="4">
        <v>82</v>
      </c>
      <c r="I543" s="12" t="str">
        <f>IFERROR(VLOOKUP($C543,Merchants!$A$2:$D$41,2,FALSE),"Merchant not found")</f>
        <v>Merchant_038</v>
      </c>
      <c r="J543" s="12" t="str">
        <f>IFERROR(VLOOKUP($C543,Merchants!$A$2:$D$41,3,FALSE),"Merchant not found")</f>
        <v>grocery</v>
      </c>
      <c r="K543" s="12" t="str">
        <f>IFERROR(VLOOKUP($C543,Merchants!$A$2:$D$41,4,FALSE),"Merchant not found")</f>
        <v>East</v>
      </c>
      <c r="L543" s="13" t="str">
        <f t="shared" si="8"/>
        <v>Standard</v>
      </c>
    </row>
    <row r="544" spans="1:12" x14ac:dyDescent="0.3">
      <c r="A544" s="3" t="s">
        <v>1153</v>
      </c>
      <c r="B544" s="2">
        <v>59</v>
      </c>
      <c r="C544" s="2">
        <v>23</v>
      </c>
      <c r="D544" s="2" t="s">
        <v>1154</v>
      </c>
      <c r="E544" s="2">
        <v>399</v>
      </c>
      <c r="F544" s="3" t="s">
        <v>95</v>
      </c>
      <c r="G544" s="3" t="s">
        <v>70</v>
      </c>
      <c r="H544" s="2">
        <v>71</v>
      </c>
      <c r="I544" s="10" t="str">
        <f>IFERROR(VLOOKUP($C544,Merchants!$A$2:$D$41,2,FALSE),"Merchant not found")</f>
        <v>Merchant_023</v>
      </c>
      <c r="J544" s="10" t="str">
        <f>IFERROR(VLOOKUP($C544,Merchants!$A$2:$D$41,3,FALSE),"Merchant not found")</f>
        <v>travel</v>
      </c>
      <c r="K544" s="10" t="str">
        <f>IFERROR(VLOOKUP($C544,Merchants!$A$2:$D$41,4,FALSE),"Merchant not found")</f>
        <v>North</v>
      </c>
      <c r="L544" s="11" t="str">
        <f t="shared" si="8"/>
        <v>Standard</v>
      </c>
    </row>
    <row r="545" spans="1:12" x14ac:dyDescent="0.3">
      <c r="A545" s="5" t="s">
        <v>1155</v>
      </c>
      <c r="B545" s="4">
        <v>345</v>
      </c>
      <c r="C545" s="4">
        <v>40</v>
      </c>
      <c r="D545" s="4" t="s">
        <v>1156</v>
      </c>
      <c r="E545" s="4">
        <v>499</v>
      </c>
      <c r="F545" s="5" t="s">
        <v>95</v>
      </c>
      <c r="G545" s="5" t="s">
        <v>96</v>
      </c>
      <c r="H545" s="4">
        <v>65</v>
      </c>
      <c r="I545" s="12" t="str">
        <f>IFERROR(VLOOKUP($C545,Merchants!$A$2:$D$41,2,FALSE),"Merchant not found")</f>
        <v>Merchant_040</v>
      </c>
      <c r="J545" s="12" t="str">
        <f>IFERROR(VLOOKUP($C545,Merchants!$A$2:$D$41,3,FALSE),"Merchant not found")</f>
        <v>entertainment</v>
      </c>
      <c r="K545" s="12" t="str">
        <f>IFERROR(VLOOKUP($C545,Merchants!$A$2:$D$41,4,FALSE),"Merchant not found")</f>
        <v>South</v>
      </c>
      <c r="L545" s="13" t="str">
        <f t="shared" si="8"/>
        <v>Standard</v>
      </c>
    </row>
    <row r="546" spans="1:12" x14ac:dyDescent="0.3">
      <c r="A546" s="3" t="s">
        <v>1157</v>
      </c>
      <c r="B546" s="2">
        <v>345</v>
      </c>
      <c r="C546" s="2">
        <v>9</v>
      </c>
      <c r="D546" s="2" t="s">
        <v>1158</v>
      </c>
      <c r="E546" s="2">
        <v>399</v>
      </c>
      <c r="F546" s="3" t="s">
        <v>95</v>
      </c>
      <c r="G546" s="3" t="s">
        <v>96</v>
      </c>
      <c r="H546" s="2">
        <v>67</v>
      </c>
      <c r="I546" s="10" t="str">
        <f>IFERROR(VLOOKUP($C546,Merchants!$A$2:$D$41,2,FALSE),"Merchant not found")</f>
        <v>Merchant_009</v>
      </c>
      <c r="J546" s="10" t="str">
        <f>IFERROR(VLOOKUP($C546,Merchants!$A$2:$D$41,3,FALSE),"Merchant not found")</f>
        <v>ecommerce</v>
      </c>
      <c r="K546" s="10" t="str">
        <f>IFERROR(VLOOKUP($C546,Merchants!$A$2:$D$41,4,FALSE),"Merchant not found")</f>
        <v>North</v>
      </c>
      <c r="L546" s="11" t="str">
        <f t="shared" si="8"/>
        <v>Standard</v>
      </c>
    </row>
    <row r="547" spans="1:12" x14ac:dyDescent="0.3">
      <c r="A547" s="5" t="s">
        <v>1159</v>
      </c>
      <c r="B547" s="4">
        <v>345</v>
      </c>
      <c r="C547" s="4">
        <v>16</v>
      </c>
      <c r="D547" s="4" t="s">
        <v>1160</v>
      </c>
      <c r="E547" s="4">
        <v>399</v>
      </c>
      <c r="F547" s="5" t="s">
        <v>95</v>
      </c>
      <c r="G547" s="5" t="s">
        <v>96</v>
      </c>
      <c r="H547" s="4">
        <v>67</v>
      </c>
      <c r="I547" s="12" t="str">
        <f>IFERROR(VLOOKUP($C547,Merchants!$A$2:$D$41,2,FALSE),"Merchant not found")</f>
        <v>Merchant_016</v>
      </c>
      <c r="J547" s="12" t="str">
        <f>IFERROR(VLOOKUP($C547,Merchants!$A$2:$D$41,3,FALSE),"Merchant not found")</f>
        <v>bill_payment</v>
      </c>
      <c r="K547" s="12" t="str">
        <f>IFERROR(VLOOKUP($C547,Merchants!$A$2:$D$41,4,FALSE),"Merchant not found")</f>
        <v>West</v>
      </c>
      <c r="L547" s="13" t="str">
        <f t="shared" si="8"/>
        <v>Standard</v>
      </c>
    </row>
    <row r="548" spans="1:12" x14ac:dyDescent="0.3">
      <c r="A548" s="3" t="s">
        <v>1161</v>
      </c>
      <c r="B548" s="2">
        <v>345</v>
      </c>
      <c r="C548" s="2">
        <v>12</v>
      </c>
      <c r="D548" s="2" t="s">
        <v>1162</v>
      </c>
      <c r="E548" s="2">
        <v>399</v>
      </c>
      <c r="F548" s="3" t="s">
        <v>95</v>
      </c>
      <c r="G548" s="3" t="s">
        <v>70</v>
      </c>
      <c r="H548" s="2">
        <v>69</v>
      </c>
      <c r="I548" s="10" t="str">
        <f>IFERROR(VLOOKUP($C548,Merchants!$A$2:$D$41,2,FALSE),"Merchant not found")</f>
        <v>Merchant_012</v>
      </c>
      <c r="J548" s="10" t="str">
        <f>IFERROR(VLOOKUP($C548,Merchants!$A$2:$D$41,3,FALSE),"Merchant not found")</f>
        <v>ecommerce</v>
      </c>
      <c r="K548" s="10" t="str">
        <f>IFERROR(VLOOKUP($C548,Merchants!$A$2:$D$41,4,FALSE),"Merchant not found")</f>
        <v>East</v>
      </c>
      <c r="L548" s="11" t="str">
        <f t="shared" si="8"/>
        <v>Standard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4" x14ac:dyDescent="0.3"/>
  <cols>
    <col min="1" max="1" width="22" customWidth="1"/>
    <col min="2" max="5" width="14" customWidth="1"/>
  </cols>
  <sheetData>
    <row r="1" spans="1:5" x14ac:dyDescent="0.3">
      <c r="A1" s="20" t="s">
        <v>1163</v>
      </c>
      <c r="B1" s="21"/>
      <c r="C1" s="21"/>
      <c r="D1" s="21"/>
      <c r="E1" s="22"/>
    </row>
    <row r="2" spans="1:5" x14ac:dyDescent="0.3">
      <c r="A2" s="6" t="s">
        <v>1164</v>
      </c>
      <c r="B2" s="7" t="s">
        <v>73</v>
      </c>
      <c r="C2" s="7" t="s">
        <v>69</v>
      </c>
      <c r="D2" s="7" t="s">
        <v>95</v>
      </c>
      <c r="E2" s="7" t="s">
        <v>78</v>
      </c>
    </row>
    <row r="3" spans="1:5" x14ac:dyDescent="0.3">
      <c r="A3" s="6" t="s">
        <v>1165</v>
      </c>
      <c r="B3" s="14">
        <v>0.25</v>
      </c>
      <c r="C3" s="14">
        <v>0.5</v>
      </c>
      <c r="D3" s="14">
        <v>1.8</v>
      </c>
      <c r="E3" s="14">
        <v>0.9</v>
      </c>
    </row>
    <row r="5" spans="1:5" x14ac:dyDescent="0.3">
      <c r="A5" s="23" t="s">
        <v>1166</v>
      </c>
      <c r="B5" s="21"/>
      <c r="C5" s="21"/>
      <c r="D5" s="21"/>
      <c r="E5" s="22"/>
    </row>
    <row r="6" spans="1:5" x14ac:dyDescent="0.3">
      <c r="A6" s="6" t="s">
        <v>1167</v>
      </c>
      <c r="B6" s="15" t="s">
        <v>73</v>
      </c>
      <c r="C6" s="15" t="s">
        <v>69</v>
      </c>
      <c r="D6" s="15" t="s">
        <v>95</v>
      </c>
      <c r="E6" s="15" t="s">
        <v>78</v>
      </c>
    </row>
    <row r="7" spans="1:5" x14ac:dyDescent="0.3">
      <c r="A7" s="6" t="s">
        <v>1168</v>
      </c>
      <c r="B7" s="16">
        <f>HLOOKUP(B6,$B$2:$E$3,2,FALSE)</f>
        <v>0.25</v>
      </c>
      <c r="C7" s="16">
        <f>HLOOKUP(C6,$B$2:$E$3,2,FALSE)</f>
        <v>0.5</v>
      </c>
      <c r="D7" s="16">
        <f>HLOOKUP(D6,$B$2:$E$3,2,FALSE)</f>
        <v>1.8</v>
      </c>
      <c r="E7" s="16">
        <f>HLOOKUP(E6,$B$2:$E$3,2,FALSE)</f>
        <v>0.9</v>
      </c>
    </row>
    <row r="8" spans="1:5" x14ac:dyDescent="0.3">
      <c r="A8" s="6" t="s">
        <v>1169</v>
      </c>
      <c r="B8" s="17">
        <f>HLOOKUP(B6,$B$2:$E$3,2,FALSE)</f>
        <v>0.25</v>
      </c>
      <c r="C8" s="17">
        <f>HLOOKUP(C6,$B$2:$E$3,2,FALSE)</f>
        <v>0.5</v>
      </c>
      <c r="D8" s="17">
        <f>HLOOKUP(D6,$B$2:$E$3,2,FALSE)</f>
        <v>1.8</v>
      </c>
      <c r="E8" s="17">
        <f>HLOOKUP(E6,$B$2:$E$3,2,FALSE)</f>
        <v>0.9</v>
      </c>
    </row>
    <row r="10" spans="1:5" ht="48" customHeight="1" x14ac:dyDescent="0.3">
      <c r="A10" s="24" t="s">
        <v>1170</v>
      </c>
      <c r="B10" s="25"/>
      <c r="C10" s="25"/>
      <c r="D10" s="25"/>
      <c r="E10" s="25"/>
    </row>
  </sheetData>
  <mergeCells count="3">
    <mergeCell ref="A1:E1"/>
    <mergeCell ref="A5:E5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F0FE-00B5-45F9-B65D-F53B0853F43B}">
  <dimension ref="A1:I46"/>
  <sheetViews>
    <sheetView tabSelected="1" workbookViewId="0"/>
  </sheetViews>
  <sheetFormatPr defaultRowHeight="14.4" x14ac:dyDescent="0.3"/>
  <cols>
    <col min="1" max="1" width="12.5546875" bestFit="1" customWidth="1"/>
    <col min="2" max="2" width="17.5546875" bestFit="1" customWidth="1"/>
    <col min="3" max="3" width="9.5546875" bestFit="1" customWidth="1"/>
    <col min="4" max="4" width="17.5546875" bestFit="1" customWidth="1"/>
    <col min="5" max="5" width="9.5546875" bestFit="1" customWidth="1"/>
    <col min="6" max="6" width="17.5546875" bestFit="1" customWidth="1"/>
    <col min="7" max="7" width="9.5546875" bestFit="1" customWidth="1"/>
    <col min="8" max="8" width="22.33203125" bestFit="1" customWidth="1"/>
    <col min="9" max="9" width="14.33203125" bestFit="1" customWidth="1"/>
  </cols>
  <sheetData>
    <row r="1" spans="1:9" ht="15.6" x14ac:dyDescent="0.3">
      <c r="A1" s="26" t="s">
        <v>1181</v>
      </c>
    </row>
    <row r="3" spans="1:9" x14ac:dyDescent="0.3">
      <c r="B3" s="27" t="s">
        <v>1184</v>
      </c>
    </row>
    <row r="4" spans="1:9" x14ac:dyDescent="0.3">
      <c r="B4" t="s">
        <v>70</v>
      </c>
      <c r="D4" t="s">
        <v>121</v>
      </c>
      <c r="F4" t="s">
        <v>96</v>
      </c>
      <c r="H4" t="s">
        <v>1186</v>
      </c>
      <c r="I4" t="s">
        <v>1187</v>
      </c>
    </row>
    <row r="5" spans="1:9" x14ac:dyDescent="0.3">
      <c r="A5" s="27" t="s">
        <v>1182</v>
      </c>
      <c r="B5" t="s">
        <v>1185</v>
      </c>
      <c r="C5" t="s">
        <v>1188</v>
      </c>
      <c r="D5" t="s">
        <v>1185</v>
      </c>
      <c r="E5" t="s">
        <v>1188</v>
      </c>
      <c r="F5" t="s">
        <v>1185</v>
      </c>
      <c r="G5" t="s">
        <v>1188</v>
      </c>
    </row>
    <row r="6" spans="1:9" x14ac:dyDescent="0.3">
      <c r="A6" s="28">
        <v>1</v>
      </c>
      <c r="B6" s="29">
        <v>10142</v>
      </c>
      <c r="C6" s="29">
        <v>8</v>
      </c>
      <c r="D6" s="29"/>
      <c r="E6" s="29"/>
      <c r="F6" s="29">
        <v>299</v>
      </c>
      <c r="G6" s="29">
        <v>1</v>
      </c>
      <c r="H6" s="29">
        <v>10441</v>
      </c>
      <c r="I6" s="29">
        <v>9</v>
      </c>
    </row>
    <row r="7" spans="1:9" x14ac:dyDescent="0.3">
      <c r="A7" s="28">
        <v>2</v>
      </c>
      <c r="B7" s="29">
        <v>3640</v>
      </c>
      <c r="C7" s="29">
        <v>10</v>
      </c>
      <c r="D7" s="29"/>
      <c r="E7" s="29"/>
      <c r="F7" s="29"/>
      <c r="G7" s="29"/>
      <c r="H7" s="29">
        <v>3640</v>
      </c>
      <c r="I7" s="29">
        <v>10</v>
      </c>
    </row>
    <row r="8" spans="1:9" x14ac:dyDescent="0.3">
      <c r="A8" s="28">
        <v>3</v>
      </c>
      <c r="B8" s="29">
        <v>8084</v>
      </c>
      <c r="C8" s="29">
        <v>16</v>
      </c>
      <c r="D8" s="29">
        <v>149</v>
      </c>
      <c r="E8" s="29">
        <v>1</v>
      </c>
      <c r="F8" s="29"/>
      <c r="G8" s="29"/>
      <c r="H8" s="29">
        <v>8233</v>
      </c>
      <c r="I8" s="29">
        <v>17</v>
      </c>
    </row>
    <row r="9" spans="1:9" x14ac:dyDescent="0.3">
      <c r="A9" s="28">
        <v>4</v>
      </c>
      <c r="B9" s="29">
        <v>6941</v>
      </c>
      <c r="C9" s="29">
        <v>9</v>
      </c>
      <c r="D9" s="29"/>
      <c r="E9" s="29"/>
      <c r="F9" s="29"/>
      <c r="G9" s="29"/>
      <c r="H9" s="29">
        <v>6941</v>
      </c>
      <c r="I9" s="29">
        <v>9</v>
      </c>
    </row>
    <row r="10" spans="1:9" x14ac:dyDescent="0.3">
      <c r="A10" s="28">
        <v>5</v>
      </c>
      <c r="B10" s="29">
        <v>5340</v>
      </c>
      <c r="C10" s="29">
        <v>10</v>
      </c>
      <c r="D10" s="29"/>
      <c r="E10" s="29"/>
      <c r="F10" s="29">
        <v>499</v>
      </c>
      <c r="G10" s="29">
        <v>1</v>
      </c>
      <c r="H10" s="29">
        <v>5839</v>
      </c>
      <c r="I10" s="29">
        <v>11</v>
      </c>
    </row>
    <row r="11" spans="1:9" x14ac:dyDescent="0.3">
      <c r="A11" s="28">
        <v>6</v>
      </c>
      <c r="B11" s="29">
        <v>6637</v>
      </c>
      <c r="C11" s="29">
        <v>13</v>
      </c>
      <c r="D11" s="29">
        <v>799</v>
      </c>
      <c r="E11" s="29">
        <v>1</v>
      </c>
      <c r="F11" s="29"/>
      <c r="G11" s="29"/>
      <c r="H11" s="29">
        <v>7436</v>
      </c>
      <c r="I11" s="29">
        <v>14</v>
      </c>
    </row>
    <row r="12" spans="1:9" x14ac:dyDescent="0.3">
      <c r="A12" s="28">
        <v>7</v>
      </c>
      <c r="B12" s="29">
        <v>11638</v>
      </c>
      <c r="C12" s="29">
        <v>12</v>
      </c>
      <c r="D12" s="29">
        <v>1999</v>
      </c>
      <c r="E12" s="29">
        <v>1</v>
      </c>
      <c r="F12" s="29">
        <v>2297</v>
      </c>
      <c r="G12" s="29">
        <v>3</v>
      </c>
      <c r="H12" s="29">
        <v>15934</v>
      </c>
      <c r="I12" s="29">
        <v>16</v>
      </c>
    </row>
    <row r="13" spans="1:9" x14ac:dyDescent="0.3">
      <c r="A13" s="28">
        <v>8</v>
      </c>
      <c r="B13" s="29">
        <v>7086</v>
      </c>
      <c r="C13" s="29">
        <v>14</v>
      </c>
      <c r="D13" s="29">
        <v>49</v>
      </c>
      <c r="E13" s="29">
        <v>1</v>
      </c>
      <c r="F13" s="29">
        <v>299</v>
      </c>
      <c r="G13" s="29">
        <v>1</v>
      </c>
      <c r="H13" s="29">
        <v>7434</v>
      </c>
      <c r="I13" s="29">
        <v>16</v>
      </c>
    </row>
    <row r="14" spans="1:9" x14ac:dyDescent="0.3">
      <c r="A14" s="28">
        <v>9</v>
      </c>
      <c r="B14" s="29">
        <v>4485</v>
      </c>
      <c r="C14" s="29">
        <v>15</v>
      </c>
      <c r="D14" s="29"/>
      <c r="E14" s="29"/>
      <c r="F14" s="29">
        <v>497</v>
      </c>
      <c r="G14" s="29">
        <v>3</v>
      </c>
      <c r="H14" s="29">
        <v>4982</v>
      </c>
      <c r="I14" s="29">
        <v>18</v>
      </c>
    </row>
    <row r="15" spans="1:9" x14ac:dyDescent="0.3">
      <c r="A15" s="28">
        <v>10</v>
      </c>
      <c r="B15" s="29">
        <v>7639</v>
      </c>
      <c r="C15" s="29">
        <v>11</v>
      </c>
      <c r="D15" s="29">
        <v>5048</v>
      </c>
      <c r="E15" s="29">
        <v>2</v>
      </c>
      <c r="F15" s="29">
        <v>399</v>
      </c>
      <c r="G15" s="29">
        <v>1</v>
      </c>
      <c r="H15" s="29">
        <v>13086</v>
      </c>
      <c r="I15" s="29">
        <v>14</v>
      </c>
    </row>
    <row r="16" spans="1:9" x14ac:dyDescent="0.3">
      <c r="A16" s="28">
        <v>11</v>
      </c>
      <c r="B16" s="29">
        <v>9292</v>
      </c>
      <c r="C16" s="29">
        <v>8</v>
      </c>
      <c r="D16" s="29">
        <v>149</v>
      </c>
      <c r="E16" s="29">
        <v>1</v>
      </c>
      <c r="F16" s="29">
        <v>1499</v>
      </c>
      <c r="G16" s="29">
        <v>1</v>
      </c>
      <c r="H16" s="29">
        <v>10940</v>
      </c>
      <c r="I16" s="29">
        <v>10</v>
      </c>
    </row>
    <row r="17" spans="1:9" x14ac:dyDescent="0.3">
      <c r="A17" s="28">
        <v>12</v>
      </c>
      <c r="B17" s="29">
        <v>9389</v>
      </c>
      <c r="C17" s="29">
        <v>11</v>
      </c>
      <c r="D17" s="29"/>
      <c r="E17" s="29"/>
      <c r="F17" s="29">
        <v>998</v>
      </c>
      <c r="G17" s="29">
        <v>2</v>
      </c>
      <c r="H17" s="29">
        <v>10387</v>
      </c>
      <c r="I17" s="29">
        <v>13</v>
      </c>
    </row>
    <row r="18" spans="1:9" x14ac:dyDescent="0.3">
      <c r="A18" s="28">
        <v>13</v>
      </c>
      <c r="B18" s="29">
        <v>10390</v>
      </c>
      <c r="C18" s="29">
        <v>10</v>
      </c>
      <c r="D18" s="29">
        <v>4999</v>
      </c>
      <c r="E18" s="29">
        <v>1</v>
      </c>
      <c r="F18" s="29">
        <v>2999</v>
      </c>
      <c r="G18" s="29">
        <v>1</v>
      </c>
      <c r="H18" s="29">
        <v>18388</v>
      </c>
      <c r="I18" s="29">
        <v>12</v>
      </c>
    </row>
    <row r="19" spans="1:9" x14ac:dyDescent="0.3">
      <c r="A19" s="28">
        <v>14</v>
      </c>
      <c r="B19" s="29">
        <v>6189</v>
      </c>
      <c r="C19" s="29">
        <v>11</v>
      </c>
      <c r="D19" s="29"/>
      <c r="E19" s="29"/>
      <c r="F19" s="29">
        <v>299</v>
      </c>
      <c r="G19" s="29">
        <v>1</v>
      </c>
      <c r="H19" s="29">
        <v>6488</v>
      </c>
      <c r="I19" s="29">
        <v>12</v>
      </c>
    </row>
    <row r="20" spans="1:9" x14ac:dyDescent="0.3">
      <c r="A20" s="28">
        <v>15</v>
      </c>
      <c r="B20" s="29">
        <v>7439</v>
      </c>
      <c r="C20" s="29">
        <v>11</v>
      </c>
      <c r="D20" s="29"/>
      <c r="E20" s="29"/>
      <c r="F20" s="29">
        <v>399</v>
      </c>
      <c r="G20" s="29">
        <v>1</v>
      </c>
      <c r="H20" s="29">
        <v>7838</v>
      </c>
      <c r="I20" s="29">
        <v>12</v>
      </c>
    </row>
    <row r="21" spans="1:9" x14ac:dyDescent="0.3">
      <c r="A21" s="28">
        <v>16</v>
      </c>
      <c r="B21" s="29">
        <v>10183</v>
      </c>
      <c r="C21" s="29">
        <v>17</v>
      </c>
      <c r="D21" s="29"/>
      <c r="E21" s="29"/>
      <c r="F21" s="29">
        <v>947</v>
      </c>
      <c r="G21" s="29">
        <v>3</v>
      </c>
      <c r="H21" s="29">
        <v>11130</v>
      </c>
      <c r="I21" s="29">
        <v>20</v>
      </c>
    </row>
    <row r="22" spans="1:9" x14ac:dyDescent="0.3">
      <c r="A22" s="28">
        <v>17</v>
      </c>
      <c r="B22" s="29">
        <v>12738</v>
      </c>
      <c r="C22" s="29">
        <v>12</v>
      </c>
      <c r="D22" s="29"/>
      <c r="E22" s="29"/>
      <c r="F22" s="29">
        <v>299</v>
      </c>
      <c r="G22" s="29">
        <v>1</v>
      </c>
      <c r="H22" s="29">
        <v>13037</v>
      </c>
      <c r="I22" s="29">
        <v>13</v>
      </c>
    </row>
    <row r="23" spans="1:9" x14ac:dyDescent="0.3">
      <c r="A23" s="28">
        <v>18</v>
      </c>
      <c r="B23" s="29">
        <v>7089</v>
      </c>
      <c r="C23" s="29">
        <v>11</v>
      </c>
      <c r="D23" s="29"/>
      <c r="E23" s="29"/>
      <c r="F23" s="29"/>
      <c r="G23" s="29"/>
      <c r="H23" s="29">
        <v>7089</v>
      </c>
      <c r="I23" s="29">
        <v>11</v>
      </c>
    </row>
    <row r="24" spans="1:9" x14ac:dyDescent="0.3">
      <c r="A24" s="28">
        <v>19</v>
      </c>
      <c r="B24" s="29">
        <v>7239</v>
      </c>
      <c r="C24" s="29">
        <v>11</v>
      </c>
      <c r="D24" s="29">
        <v>4999</v>
      </c>
      <c r="E24" s="29">
        <v>1</v>
      </c>
      <c r="F24" s="29">
        <v>598</v>
      </c>
      <c r="G24" s="29">
        <v>2</v>
      </c>
      <c r="H24" s="29">
        <v>12836</v>
      </c>
      <c r="I24" s="29">
        <v>14</v>
      </c>
    </row>
    <row r="25" spans="1:9" x14ac:dyDescent="0.3">
      <c r="A25" s="28">
        <v>20</v>
      </c>
      <c r="B25" s="29">
        <v>4192</v>
      </c>
      <c r="C25" s="29">
        <v>8</v>
      </c>
      <c r="D25" s="29"/>
      <c r="E25" s="29"/>
      <c r="F25" s="29">
        <v>49</v>
      </c>
      <c r="G25" s="29">
        <v>1</v>
      </c>
      <c r="H25" s="29">
        <v>4241</v>
      </c>
      <c r="I25" s="29">
        <v>9</v>
      </c>
    </row>
    <row r="26" spans="1:9" x14ac:dyDescent="0.3">
      <c r="A26" s="28">
        <v>21</v>
      </c>
      <c r="B26" s="29">
        <v>3887</v>
      </c>
      <c r="C26" s="29">
        <v>13</v>
      </c>
      <c r="D26" s="29"/>
      <c r="E26" s="29"/>
      <c r="F26" s="29">
        <v>4999</v>
      </c>
      <c r="G26" s="29">
        <v>1</v>
      </c>
      <c r="H26" s="29">
        <v>8886</v>
      </c>
      <c r="I26" s="29">
        <v>14</v>
      </c>
    </row>
    <row r="27" spans="1:9" x14ac:dyDescent="0.3">
      <c r="A27" s="28">
        <v>22</v>
      </c>
      <c r="B27" s="29">
        <v>11336</v>
      </c>
      <c r="C27" s="29">
        <v>14</v>
      </c>
      <c r="D27" s="29"/>
      <c r="E27" s="29"/>
      <c r="F27" s="29">
        <v>1198</v>
      </c>
      <c r="G27" s="29">
        <v>2</v>
      </c>
      <c r="H27" s="29">
        <v>12534</v>
      </c>
      <c r="I27" s="29">
        <v>16</v>
      </c>
    </row>
    <row r="28" spans="1:9" x14ac:dyDescent="0.3">
      <c r="A28" s="28">
        <v>23</v>
      </c>
      <c r="B28" s="29">
        <v>1041</v>
      </c>
      <c r="C28" s="29">
        <v>9</v>
      </c>
      <c r="D28" s="29">
        <v>1999</v>
      </c>
      <c r="E28" s="29">
        <v>1</v>
      </c>
      <c r="F28" s="29"/>
      <c r="G28" s="29"/>
      <c r="H28" s="29">
        <v>3040</v>
      </c>
      <c r="I28" s="29">
        <v>10</v>
      </c>
    </row>
    <row r="29" spans="1:9" x14ac:dyDescent="0.3">
      <c r="A29" s="28">
        <v>24</v>
      </c>
      <c r="B29" s="29">
        <v>3438</v>
      </c>
      <c r="C29" s="29">
        <v>12</v>
      </c>
      <c r="D29" s="29">
        <v>149</v>
      </c>
      <c r="E29" s="29">
        <v>1</v>
      </c>
      <c r="F29" s="29"/>
      <c r="G29" s="29"/>
      <c r="H29" s="29">
        <v>3587</v>
      </c>
      <c r="I29" s="29">
        <v>13</v>
      </c>
    </row>
    <row r="30" spans="1:9" x14ac:dyDescent="0.3">
      <c r="A30" s="28">
        <v>25</v>
      </c>
      <c r="B30" s="29">
        <v>12534</v>
      </c>
      <c r="C30" s="29">
        <v>16</v>
      </c>
      <c r="D30" s="29">
        <v>2999</v>
      </c>
      <c r="E30" s="29">
        <v>1</v>
      </c>
      <c r="F30" s="29"/>
      <c r="G30" s="29"/>
      <c r="H30" s="29">
        <v>15533</v>
      </c>
      <c r="I30" s="29">
        <v>17</v>
      </c>
    </row>
    <row r="31" spans="1:9" x14ac:dyDescent="0.3">
      <c r="A31" s="28">
        <v>26</v>
      </c>
      <c r="B31" s="29">
        <v>2991</v>
      </c>
      <c r="C31" s="29">
        <v>9</v>
      </c>
      <c r="D31" s="29"/>
      <c r="E31" s="29"/>
      <c r="F31" s="29">
        <v>2197</v>
      </c>
      <c r="G31" s="29">
        <v>3</v>
      </c>
      <c r="H31" s="29">
        <v>5188</v>
      </c>
      <c r="I31" s="29">
        <v>12</v>
      </c>
    </row>
    <row r="32" spans="1:9" x14ac:dyDescent="0.3">
      <c r="A32" s="28">
        <v>27</v>
      </c>
      <c r="B32" s="29">
        <v>8038</v>
      </c>
      <c r="C32" s="29">
        <v>12</v>
      </c>
      <c r="D32" s="29">
        <v>4047</v>
      </c>
      <c r="E32" s="29">
        <v>3</v>
      </c>
      <c r="F32" s="29">
        <v>1499</v>
      </c>
      <c r="G32" s="29">
        <v>1</v>
      </c>
      <c r="H32" s="29">
        <v>13584</v>
      </c>
      <c r="I32" s="29">
        <v>16</v>
      </c>
    </row>
    <row r="33" spans="1:9" x14ac:dyDescent="0.3">
      <c r="A33" s="28">
        <v>28</v>
      </c>
      <c r="B33" s="29">
        <v>4493</v>
      </c>
      <c r="C33" s="29">
        <v>7</v>
      </c>
      <c r="D33" s="29">
        <v>1999</v>
      </c>
      <c r="E33" s="29">
        <v>1</v>
      </c>
      <c r="F33" s="29">
        <v>3048</v>
      </c>
      <c r="G33" s="29">
        <v>2</v>
      </c>
      <c r="H33" s="29">
        <v>9540</v>
      </c>
      <c r="I33" s="29">
        <v>10</v>
      </c>
    </row>
    <row r="34" spans="1:9" x14ac:dyDescent="0.3">
      <c r="A34" s="28">
        <v>29</v>
      </c>
      <c r="B34" s="29">
        <v>5686</v>
      </c>
      <c r="C34" s="29">
        <v>14</v>
      </c>
      <c r="D34" s="29">
        <v>3897</v>
      </c>
      <c r="E34" s="29">
        <v>3</v>
      </c>
      <c r="F34" s="29">
        <v>3498</v>
      </c>
      <c r="G34" s="29">
        <v>2</v>
      </c>
      <c r="H34" s="29">
        <v>13081</v>
      </c>
      <c r="I34" s="29">
        <v>19</v>
      </c>
    </row>
    <row r="35" spans="1:9" x14ac:dyDescent="0.3">
      <c r="A35" s="28">
        <v>30</v>
      </c>
      <c r="B35" s="29">
        <v>7384</v>
      </c>
      <c r="C35" s="29">
        <v>16</v>
      </c>
      <c r="D35" s="29"/>
      <c r="E35" s="29"/>
      <c r="F35" s="29">
        <v>499</v>
      </c>
      <c r="G35" s="29">
        <v>1</v>
      </c>
      <c r="H35" s="29">
        <v>7883</v>
      </c>
      <c r="I35" s="29">
        <v>17</v>
      </c>
    </row>
    <row r="36" spans="1:9" x14ac:dyDescent="0.3">
      <c r="A36" s="28">
        <v>31</v>
      </c>
      <c r="B36" s="29">
        <v>2640</v>
      </c>
      <c r="C36" s="29">
        <v>10</v>
      </c>
      <c r="D36" s="29">
        <v>49</v>
      </c>
      <c r="E36" s="29">
        <v>1</v>
      </c>
      <c r="F36" s="29">
        <v>2146</v>
      </c>
      <c r="G36" s="29">
        <v>4</v>
      </c>
      <c r="H36" s="29">
        <v>4835</v>
      </c>
      <c r="I36" s="29">
        <v>15</v>
      </c>
    </row>
    <row r="37" spans="1:9" x14ac:dyDescent="0.3">
      <c r="A37" s="28">
        <v>32</v>
      </c>
      <c r="B37" s="29">
        <v>2589</v>
      </c>
      <c r="C37" s="29">
        <v>11</v>
      </c>
      <c r="D37" s="29">
        <v>1999</v>
      </c>
      <c r="E37" s="29">
        <v>1</v>
      </c>
      <c r="F37" s="29">
        <v>3498</v>
      </c>
      <c r="G37" s="29">
        <v>2</v>
      </c>
      <c r="H37" s="29">
        <v>8086</v>
      </c>
      <c r="I37" s="29">
        <v>14</v>
      </c>
    </row>
    <row r="38" spans="1:9" x14ac:dyDescent="0.3">
      <c r="A38" s="28">
        <v>33</v>
      </c>
      <c r="B38" s="29">
        <v>10190</v>
      </c>
      <c r="C38" s="29">
        <v>10</v>
      </c>
      <c r="D38" s="29"/>
      <c r="E38" s="29"/>
      <c r="F38" s="29">
        <v>149</v>
      </c>
      <c r="G38" s="29">
        <v>1</v>
      </c>
      <c r="H38" s="29">
        <v>10339</v>
      </c>
      <c r="I38" s="29">
        <v>11</v>
      </c>
    </row>
    <row r="39" spans="1:9" x14ac:dyDescent="0.3">
      <c r="A39" s="28">
        <v>34</v>
      </c>
      <c r="B39" s="29">
        <v>9635</v>
      </c>
      <c r="C39" s="29">
        <v>15</v>
      </c>
      <c r="D39" s="29"/>
      <c r="E39" s="29"/>
      <c r="F39" s="29">
        <v>399</v>
      </c>
      <c r="G39" s="29">
        <v>1</v>
      </c>
      <c r="H39" s="29">
        <v>10034</v>
      </c>
      <c r="I39" s="29">
        <v>16</v>
      </c>
    </row>
    <row r="40" spans="1:9" x14ac:dyDescent="0.3">
      <c r="A40" s="28">
        <v>35</v>
      </c>
      <c r="B40" s="29">
        <v>8688</v>
      </c>
      <c r="C40" s="29">
        <v>12</v>
      </c>
      <c r="D40" s="29"/>
      <c r="E40" s="29"/>
      <c r="F40" s="29">
        <v>598</v>
      </c>
      <c r="G40" s="29">
        <v>2</v>
      </c>
      <c r="H40" s="29">
        <v>9286</v>
      </c>
      <c r="I40" s="29">
        <v>14</v>
      </c>
    </row>
    <row r="41" spans="1:9" x14ac:dyDescent="0.3">
      <c r="A41" s="28">
        <v>36</v>
      </c>
      <c r="B41" s="29">
        <v>11535</v>
      </c>
      <c r="C41" s="29">
        <v>15</v>
      </c>
      <c r="D41" s="29">
        <v>999</v>
      </c>
      <c r="E41" s="29">
        <v>1</v>
      </c>
      <c r="F41" s="29"/>
      <c r="G41" s="29"/>
      <c r="H41" s="29">
        <v>12534</v>
      </c>
      <c r="I41" s="29">
        <v>16</v>
      </c>
    </row>
    <row r="42" spans="1:9" x14ac:dyDescent="0.3">
      <c r="A42" s="28">
        <v>37</v>
      </c>
      <c r="B42" s="29">
        <v>10833</v>
      </c>
      <c r="C42" s="29">
        <v>17</v>
      </c>
      <c r="D42" s="29">
        <v>1999</v>
      </c>
      <c r="E42" s="29">
        <v>1</v>
      </c>
      <c r="F42" s="29">
        <v>99</v>
      </c>
      <c r="G42" s="29">
        <v>1</v>
      </c>
      <c r="H42" s="29">
        <v>12931</v>
      </c>
      <c r="I42" s="29">
        <v>19</v>
      </c>
    </row>
    <row r="43" spans="1:9" x14ac:dyDescent="0.3">
      <c r="A43" s="28">
        <v>38</v>
      </c>
      <c r="B43" s="29">
        <v>3342</v>
      </c>
      <c r="C43" s="29">
        <v>8</v>
      </c>
      <c r="D43" s="29"/>
      <c r="E43" s="29"/>
      <c r="F43" s="29">
        <v>598</v>
      </c>
      <c r="G43" s="29">
        <v>2</v>
      </c>
      <c r="H43" s="29">
        <v>3940</v>
      </c>
      <c r="I43" s="29">
        <v>10</v>
      </c>
    </row>
    <row r="44" spans="1:9" x14ac:dyDescent="0.3">
      <c r="A44" s="28">
        <v>39</v>
      </c>
      <c r="B44" s="29">
        <v>11291</v>
      </c>
      <c r="C44" s="29">
        <v>9</v>
      </c>
      <c r="D44" s="29">
        <v>10997</v>
      </c>
      <c r="E44" s="29">
        <v>3</v>
      </c>
      <c r="F44" s="29">
        <v>399</v>
      </c>
      <c r="G44" s="29">
        <v>1</v>
      </c>
      <c r="H44" s="29">
        <v>22687</v>
      </c>
      <c r="I44" s="29">
        <v>13</v>
      </c>
    </row>
    <row r="45" spans="1:9" x14ac:dyDescent="0.3">
      <c r="A45" s="28">
        <v>40</v>
      </c>
      <c r="B45" s="29">
        <v>3039</v>
      </c>
      <c r="C45" s="29">
        <v>11</v>
      </c>
      <c r="D45" s="29">
        <v>5148</v>
      </c>
      <c r="E45" s="29">
        <v>2</v>
      </c>
      <c r="F45" s="29">
        <v>548</v>
      </c>
      <c r="G45" s="29">
        <v>2</v>
      </c>
      <c r="H45" s="29">
        <v>8735</v>
      </c>
      <c r="I45" s="29">
        <v>15</v>
      </c>
    </row>
    <row r="46" spans="1:9" x14ac:dyDescent="0.3">
      <c r="A46" s="28" t="s">
        <v>1183</v>
      </c>
      <c r="B46" s="29">
        <v>290382</v>
      </c>
      <c r="C46" s="29">
        <v>468</v>
      </c>
      <c r="D46" s="29">
        <v>54472</v>
      </c>
      <c r="E46" s="29">
        <v>28</v>
      </c>
      <c r="F46" s="29">
        <v>37749</v>
      </c>
      <c r="G46" s="29">
        <v>51</v>
      </c>
      <c r="H46" s="29">
        <v>382603</v>
      </c>
      <c r="I46" s="29">
        <v>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pane ySplit="2" topLeftCell="A3" activePane="bottomLeft" state="frozen"/>
      <selection pane="bottomLeft" sqref="A1:J1"/>
    </sheetView>
  </sheetViews>
  <sheetFormatPr defaultRowHeight="14.4" x14ac:dyDescent="0.3"/>
  <cols>
    <col min="1" max="1" width="13" customWidth="1"/>
    <col min="2" max="2" width="18" customWidth="1"/>
    <col min="3" max="3" width="16" customWidth="1"/>
    <col min="4" max="4" width="12" customWidth="1"/>
    <col min="5" max="5" width="16" customWidth="1"/>
    <col min="6" max="6" width="14" customWidth="1"/>
    <col min="7" max="7" width="18" customWidth="1"/>
    <col min="8" max="8" width="28" customWidth="1"/>
    <col min="9" max="9" width="22" customWidth="1"/>
    <col min="10" max="10" width="28" customWidth="1"/>
  </cols>
  <sheetData>
    <row r="1" spans="1:10" x14ac:dyDescent="0.3">
      <c r="A1" s="20" t="s">
        <v>1171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x14ac:dyDescent="0.3">
      <c r="A2" s="6" t="s">
        <v>0</v>
      </c>
      <c r="B2" s="6" t="s">
        <v>1</v>
      </c>
      <c r="C2" s="6" t="s">
        <v>2</v>
      </c>
      <c r="D2" s="6" t="s">
        <v>3</v>
      </c>
      <c r="E2" s="7" t="s">
        <v>1172</v>
      </c>
      <c r="F2" s="7" t="s">
        <v>1173</v>
      </c>
      <c r="G2" s="7" t="s">
        <v>1174</v>
      </c>
      <c r="H2" s="8" t="s">
        <v>1175</v>
      </c>
      <c r="I2" s="8" t="s">
        <v>1176</v>
      </c>
      <c r="J2" s="8" t="s">
        <v>1177</v>
      </c>
    </row>
    <row r="3" spans="1:10" x14ac:dyDescent="0.3">
      <c r="A3" s="3">
        <v>16</v>
      </c>
      <c r="B3" s="3" t="s">
        <v>28</v>
      </c>
      <c r="C3" s="3" t="s">
        <v>29</v>
      </c>
      <c r="D3" s="3" t="s">
        <v>9</v>
      </c>
      <c r="E3" s="2">
        <v>20</v>
      </c>
      <c r="F3" s="2">
        <v>15</v>
      </c>
      <c r="G3" s="2">
        <v>11130</v>
      </c>
      <c r="H3" s="2">
        <v>0</v>
      </c>
      <c r="I3" s="2">
        <v>2999</v>
      </c>
      <c r="J3" s="18" t="s">
        <v>1178</v>
      </c>
    </row>
    <row r="4" spans="1:10" x14ac:dyDescent="0.3">
      <c r="A4" s="5">
        <v>29</v>
      </c>
      <c r="B4" s="5" t="s">
        <v>42</v>
      </c>
      <c r="C4" s="5" t="s">
        <v>5</v>
      </c>
      <c r="D4" s="5" t="s">
        <v>19</v>
      </c>
      <c r="E4" s="4">
        <v>19</v>
      </c>
      <c r="F4" s="4">
        <v>13</v>
      </c>
      <c r="G4" s="4">
        <v>13081</v>
      </c>
      <c r="H4" s="4">
        <v>0</v>
      </c>
      <c r="I4" s="4">
        <v>3896</v>
      </c>
      <c r="J4" s="18" t="s">
        <v>1178</v>
      </c>
    </row>
    <row r="5" spans="1:10" x14ac:dyDescent="0.3">
      <c r="A5" s="3">
        <v>37</v>
      </c>
      <c r="B5" s="3" t="s">
        <v>51</v>
      </c>
      <c r="C5" s="3" t="s">
        <v>50</v>
      </c>
      <c r="D5" s="3" t="s">
        <v>6</v>
      </c>
      <c r="E5" s="2">
        <v>19</v>
      </c>
      <c r="F5" s="2">
        <v>16</v>
      </c>
      <c r="G5" s="2">
        <v>12931</v>
      </c>
      <c r="H5" s="2">
        <v>0</v>
      </c>
      <c r="I5" s="2">
        <v>2999</v>
      </c>
      <c r="J5" s="18" t="s">
        <v>1178</v>
      </c>
    </row>
    <row r="6" spans="1:10" x14ac:dyDescent="0.3">
      <c r="A6" s="5">
        <v>9</v>
      </c>
      <c r="B6" s="5" t="s">
        <v>20</v>
      </c>
      <c r="C6" s="5" t="s">
        <v>5</v>
      </c>
      <c r="D6" s="5" t="s">
        <v>19</v>
      </c>
      <c r="E6" s="4">
        <v>18</v>
      </c>
      <c r="F6" s="4">
        <v>14</v>
      </c>
      <c r="G6" s="4">
        <v>4982</v>
      </c>
      <c r="H6" s="4">
        <v>0</v>
      </c>
      <c r="I6" s="4">
        <v>1298</v>
      </c>
      <c r="J6" s="18" t="s">
        <v>1178</v>
      </c>
    </row>
    <row r="7" spans="1:10" x14ac:dyDescent="0.3">
      <c r="A7" s="3">
        <v>3</v>
      </c>
      <c r="B7" s="3" t="s">
        <v>10</v>
      </c>
      <c r="C7" s="3" t="s">
        <v>8</v>
      </c>
      <c r="D7" s="3" t="s">
        <v>11</v>
      </c>
      <c r="E7" s="2">
        <v>17</v>
      </c>
      <c r="F7" s="2">
        <v>13</v>
      </c>
      <c r="G7" s="2">
        <v>8233</v>
      </c>
      <c r="H7" s="2">
        <v>0</v>
      </c>
      <c r="I7" s="2">
        <v>4999</v>
      </c>
      <c r="J7" s="18" t="s">
        <v>1178</v>
      </c>
    </row>
    <row r="8" spans="1:10" x14ac:dyDescent="0.3">
      <c r="A8" s="5">
        <v>25</v>
      </c>
      <c r="B8" s="5" t="s">
        <v>38</v>
      </c>
      <c r="C8" s="5" t="s">
        <v>25</v>
      </c>
      <c r="D8" s="5" t="s">
        <v>6</v>
      </c>
      <c r="E8" s="4">
        <v>17</v>
      </c>
      <c r="F8" s="4">
        <v>11</v>
      </c>
      <c r="G8" s="4">
        <v>15533</v>
      </c>
      <c r="H8" s="4">
        <v>0</v>
      </c>
      <c r="I8" s="4">
        <v>4498</v>
      </c>
      <c r="J8" s="18" t="s">
        <v>1178</v>
      </c>
    </row>
    <row r="9" spans="1:10" x14ac:dyDescent="0.3">
      <c r="A9" s="3">
        <v>30</v>
      </c>
      <c r="B9" s="3" t="s">
        <v>43</v>
      </c>
      <c r="C9" s="3" t="s">
        <v>25</v>
      </c>
      <c r="D9" s="3" t="s">
        <v>9</v>
      </c>
      <c r="E9" s="2">
        <v>17</v>
      </c>
      <c r="F9" s="2">
        <v>13</v>
      </c>
      <c r="G9" s="2">
        <v>7883</v>
      </c>
      <c r="H9" s="2">
        <v>0</v>
      </c>
      <c r="I9" s="2">
        <v>2497</v>
      </c>
      <c r="J9" s="18" t="s">
        <v>1178</v>
      </c>
    </row>
    <row r="10" spans="1:10" x14ac:dyDescent="0.3">
      <c r="A10" s="5">
        <v>7</v>
      </c>
      <c r="B10" s="5" t="s">
        <v>17</v>
      </c>
      <c r="C10" s="5" t="s">
        <v>16</v>
      </c>
      <c r="D10" s="5" t="s">
        <v>11</v>
      </c>
      <c r="E10" s="4">
        <v>16</v>
      </c>
      <c r="F10" s="4">
        <v>11</v>
      </c>
      <c r="G10" s="4">
        <v>15934</v>
      </c>
      <c r="H10" s="4">
        <v>0</v>
      </c>
      <c r="I10" s="4">
        <v>4498</v>
      </c>
      <c r="J10" s="18" t="s">
        <v>1178</v>
      </c>
    </row>
    <row r="11" spans="1:10" x14ac:dyDescent="0.3">
      <c r="A11" s="3">
        <v>8</v>
      </c>
      <c r="B11" s="3" t="s">
        <v>18</v>
      </c>
      <c r="C11" s="3" t="s">
        <v>16</v>
      </c>
      <c r="D11" s="3" t="s">
        <v>19</v>
      </c>
      <c r="E11" s="2">
        <v>16</v>
      </c>
      <c r="F11" s="2">
        <v>13</v>
      </c>
      <c r="G11" s="2">
        <v>7434</v>
      </c>
      <c r="H11" s="2">
        <v>0</v>
      </c>
      <c r="I11" s="2">
        <v>2999</v>
      </c>
      <c r="J11" s="18" t="s">
        <v>1178</v>
      </c>
    </row>
    <row r="12" spans="1:10" x14ac:dyDescent="0.3">
      <c r="A12" s="5">
        <v>22</v>
      </c>
      <c r="B12" s="5" t="s">
        <v>35</v>
      </c>
      <c r="C12" s="5" t="s">
        <v>25</v>
      </c>
      <c r="D12" s="5" t="s">
        <v>6</v>
      </c>
      <c r="E12" s="4">
        <v>16</v>
      </c>
      <c r="F12" s="4">
        <v>11</v>
      </c>
      <c r="G12" s="4">
        <v>12534</v>
      </c>
      <c r="H12" s="4">
        <v>1</v>
      </c>
      <c r="I12" s="4">
        <v>5798</v>
      </c>
      <c r="J12" s="19" t="s">
        <v>1179</v>
      </c>
    </row>
    <row r="14" spans="1:10" ht="42" customHeight="1" x14ac:dyDescent="0.3">
      <c r="A14" s="24" t="s">
        <v>1180</v>
      </c>
      <c r="B14" s="25"/>
      <c r="C14" s="25"/>
      <c r="D14" s="25"/>
      <c r="E14" s="25"/>
      <c r="F14" s="25"/>
      <c r="G14" s="25"/>
      <c r="H14" s="25"/>
      <c r="I14" s="25"/>
      <c r="J14" s="25"/>
    </row>
  </sheetData>
  <mergeCells count="2">
    <mergeCell ref="A1:J1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Merchants</vt:lpstr>
      <vt:lpstr>Transactions</vt:lpstr>
      <vt:lpstr>HLOOKUP_Demo</vt:lpstr>
      <vt:lpstr>Pivot_Summary</vt:lpstr>
      <vt:lpstr>Unique_Days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Joshi</cp:lastModifiedBy>
  <dcterms:created xsi:type="dcterms:W3CDTF">2026-09-01T14:25:06Z</dcterms:created>
  <dcterms:modified xsi:type="dcterms:W3CDTF">2026-09-01T14:25:11Z</dcterms:modified>
</cp:coreProperties>
</file>